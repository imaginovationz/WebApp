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C:\Users\ernig\eclipse-workspace\Automation Portal\WebApp\ExcelGridTestApp\backend\uploads\"/>
    </mc:Choice>
  </mc:AlternateContent>
  <xr:revisionPtr revIDLastSave="0" documentId="8_{D4D525DB-5E0D-4979-9ACC-1B3BE6675079}" xr6:coauthVersionLast="47" xr6:coauthVersionMax="47" xr10:uidLastSave="{00000000-0000-0000-0000-000000000000}"/>
  <bookViews>
    <workbookView xWindow="-108" yWindow="-108" windowWidth="23256" windowHeight="12456" tabRatio="865" activeTab="18" xr2:uid="{F12C4C5B-B084-4003-8360-08BCF4809F64}"/>
  </bookViews>
  <sheets>
    <sheet name="Instructions" sheetId="314" r:id="rId1"/>
    <sheet name="Login" sheetId="1" r:id="rId2"/>
    <sheet name="Releases" sheetId="31" state="hidden" r:id="rId3"/>
    <sheet name="Recent Credentials" sheetId="29" state="hidden" r:id="rId4"/>
    <sheet name="Target Schedule" sheetId="20" state="hidden" r:id="rId5"/>
    <sheet name="Test Coverage" sheetId="32" state="hidden" r:id="rId6"/>
    <sheet name="Cumulative Test Coverage" sheetId="33" state="hidden" r:id="rId7"/>
    <sheet name="Daily Variance" sheetId="34" state="hidden" r:id="rId8"/>
    <sheet name="CumVar by Severity &amp; Status" sheetId="36" state="hidden" r:id="rId9"/>
    <sheet name="Sev 1 Aging" sheetId="35" state="hidden" r:id="rId10"/>
    <sheet name="CumVar by RootCause &amp; Severity" sheetId="37" state="hidden" r:id="rId11"/>
    <sheet name="Cumulative SIT Effectiveness" sheetId="38" state="hidden" r:id="rId12"/>
    <sheet name="CumVar by Department" sheetId="309" state="hidden" r:id="rId13"/>
    <sheet name="Ranges" sheetId="52" state="hidden" r:id="rId14"/>
    <sheet name="Defect Open" sheetId="317" state="hidden" r:id="rId15"/>
    <sheet name="DSR" sheetId="308" r:id="rId16"/>
    <sheet name="Application Defect" sheetId="318" r:id="rId17"/>
    <sheet name="GeneratedTextSummaries" sheetId="313" state="hidden" r:id="rId18"/>
    <sheet name="Daily Target" sheetId="312" r:id="rId19"/>
    <sheet name="Trend Test Coverage" sheetId="315" state="hidden" r:id="rId20"/>
    <sheet name="AssignPeopleToDepartments" sheetId="310" r:id="rId21"/>
    <sheet name="Trend Defect Coverage" sheetId="316" state="hidden" r:id="rId22"/>
    <sheet name="AssignPeopleToDepartmentsHelper" sheetId="311" r:id="rId23"/>
    <sheet name="AfterRunAddresses" sheetId="243" state="hidden" r:id="rId24"/>
    <sheet name="Favourite TestSet Folders" sheetId="27" state="hidden" r:id="rId25"/>
    <sheet name="Columns" sheetId="4" state="hidden" r:id="rId26"/>
  </sheets>
  <definedNames>
    <definedName name="_xlnm._FilterDatabase" localSheetId="22" hidden="1">AssignPeopleToDepartmentsHelper!$B$1:$B$21</definedName>
    <definedName name="_xlnm._FilterDatabase" localSheetId="12" hidden="1">'CumVar by Department'!$A$1:$G$561</definedName>
    <definedName name="_xlnm._FilterDatabase" localSheetId="10" hidden="1">'CumVar by RootCause &amp; Severity'!$A$1:$J$110</definedName>
  </definedNames>
  <calcPr calcId="191029"/>
  <pivotCaches>
    <pivotCache cacheId="8" r:id="rId27"/>
    <pivotCache cacheId="9" r:id="rId28"/>
    <pivotCache cacheId="10" r:id="rId29"/>
    <pivotCache cacheId="11"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313" l="1" a="1"/>
  <c r="E6" i="313" s="1"/>
  <c r="D6" i="313" a="1"/>
  <c r="D6" i="313" s="1"/>
  <c r="C6" i="313" a="1"/>
  <c r="C6" i="313" s="1"/>
  <c r="B6" i="313" a="1"/>
  <c r="B6" i="313" s="1"/>
  <c r="D148" i="308"/>
  <c r="D149" i="308"/>
  <c r="D150" i="308"/>
  <c r="D151" i="308"/>
  <c r="D144" i="308"/>
  <c r="D145" i="308"/>
  <c r="D146" i="308"/>
  <c r="D147" i="308"/>
  <c r="B133" i="308" l="1" a="1"/>
  <c r="B133" i="308" s="1"/>
  <c r="A133" i="308" a="1"/>
  <c r="A133" i="308" s="1"/>
  <c r="B1" i="311" a="1"/>
  <c r="B1" i="311" s="1"/>
  <c r="A2" i="311" a="1"/>
  <c r="B4" i="313" l="1" a="1"/>
  <c r="B4" i="313" s="1"/>
  <c r="A2" i="311"/>
  <c r="F2" i="311" s="1" a="1"/>
  <c r="F166" i="308" s="1"/>
  <c r="G161" i="308" a="1"/>
  <c r="G161" i="308" s="1"/>
  <c r="C166" i="308" l="1"/>
  <c r="D166" i="308"/>
  <c r="B166" i="308"/>
  <c r="F2" i="311"/>
  <c r="E166" i="308" s="1"/>
  <c r="D2" i="311" a="1"/>
  <c r="F164" i="308" s="1"/>
  <c r="E2" i="311" a="1"/>
  <c r="F165" i="308" s="1"/>
  <c r="C2" i="311" a="1"/>
  <c r="C81" i="308"/>
  <c r="D81" i="308"/>
  <c r="C6" i="308"/>
  <c r="D172" i="308"/>
  <c r="B121" i="308"/>
  <c r="C3" i="308"/>
  <c r="B7" i="243"/>
  <c r="B3" i="243"/>
  <c r="B2" i="243"/>
  <c r="C172" i="308"/>
  <c r="F157" i="308"/>
  <c r="E157" i="308"/>
  <c r="D157" i="308"/>
  <c r="C157" i="308"/>
  <c r="F156" i="308"/>
  <c r="E156" i="308"/>
  <c r="D156" i="308"/>
  <c r="C156" i="308"/>
  <c r="F155" i="308"/>
  <c r="E155" i="308"/>
  <c r="D155" i="308"/>
  <c r="C155" i="308"/>
  <c r="F154" i="308"/>
  <c r="E154" i="308"/>
  <c r="D154" i="308"/>
  <c r="C154" i="308"/>
  <c r="F153" i="308"/>
  <c r="E153" i="308"/>
  <c r="D153" i="308"/>
  <c r="C153" i="308"/>
  <c r="F152" i="308"/>
  <c r="E152" i="308"/>
  <c r="D152" i="308"/>
  <c r="C152" i="308"/>
  <c r="F151" i="308"/>
  <c r="E151" i="308"/>
  <c r="C151" i="308"/>
  <c r="F150" i="308"/>
  <c r="E150" i="308"/>
  <c r="C150" i="308"/>
  <c r="F149" i="308"/>
  <c r="E149" i="308"/>
  <c r="C149" i="308"/>
  <c r="F148" i="308"/>
  <c r="E148" i="308"/>
  <c r="C148" i="308"/>
  <c r="F147" i="308"/>
  <c r="E147" i="308"/>
  <c r="C147" i="308"/>
  <c r="F146" i="308"/>
  <c r="E146" i="308"/>
  <c r="C146" i="308"/>
  <c r="F145" i="308"/>
  <c r="E145" i="308"/>
  <c r="C145" i="308"/>
  <c r="F144" i="308"/>
  <c r="E144" i="308"/>
  <c r="C144" i="308"/>
  <c r="F143" i="308"/>
  <c r="E143" i="308"/>
  <c r="D143" i="308"/>
  <c r="C143" i="308"/>
  <c r="F142" i="308"/>
  <c r="E142" i="308"/>
  <c r="D142" i="308"/>
  <c r="C142" i="308"/>
  <c r="E127" i="308"/>
  <c r="D127" i="308"/>
  <c r="C127" i="308"/>
  <c r="B127" i="308"/>
  <c r="E126" i="308"/>
  <c r="D126" i="308"/>
  <c r="C126" i="308"/>
  <c r="B126" i="308"/>
  <c r="E125" i="308"/>
  <c r="D125" i="308"/>
  <c r="C125" i="308"/>
  <c r="B125" i="308"/>
  <c r="E124" i="308"/>
  <c r="D124" i="308"/>
  <c r="C124" i="308"/>
  <c r="B124" i="308"/>
  <c r="E123" i="308"/>
  <c r="D123" i="308"/>
  <c r="C123" i="308"/>
  <c r="B123" i="308"/>
  <c r="E122" i="308"/>
  <c r="D122" i="308"/>
  <c r="C122" i="308"/>
  <c r="B122" i="308"/>
  <c r="E121" i="308"/>
  <c r="D121" i="308"/>
  <c r="C121" i="308"/>
  <c r="E120" i="308"/>
  <c r="D120" i="308"/>
  <c r="C120" i="308"/>
  <c r="B120" i="308"/>
  <c r="E119" i="308"/>
  <c r="D119" i="308"/>
  <c r="C119" i="308"/>
  <c r="B119" i="308"/>
  <c r="C114" i="308"/>
  <c r="C113" i="308"/>
  <c r="C112" i="308"/>
  <c r="G107" i="308"/>
  <c r="E107" i="308"/>
  <c r="C107" i="308"/>
  <c r="D80" i="308"/>
  <c r="C80" i="308"/>
  <c r="D79" i="308"/>
  <c r="C79" i="308"/>
  <c r="D78" i="308"/>
  <c r="C78" i="308"/>
  <c r="D77" i="308"/>
  <c r="C77" i="308"/>
  <c r="D76" i="308"/>
  <c r="C76" i="308"/>
  <c r="D75" i="308"/>
  <c r="C75" i="308"/>
  <c r="D74" i="308"/>
  <c r="C74" i="308"/>
  <c r="B7" i="52"/>
  <c r="B6" i="52"/>
  <c r="B26" i="52" s="1"/>
  <c r="B5" i="52"/>
  <c r="B25" i="52" s="1"/>
  <c r="B3" i="52"/>
  <c r="B23" i="52" s="1"/>
  <c r="B2" i="52"/>
  <c r="B21" i="52" s="1"/>
  <c r="B28" i="52"/>
  <c r="A25" i="308" a="1"/>
  <c r="D25" i="308" a="1"/>
  <c r="C49" i="308" l="1"/>
  <c r="G166" i="308"/>
  <c r="D163" i="308"/>
  <c r="F163" i="308"/>
  <c r="C164" i="308"/>
  <c r="D164" i="308"/>
  <c r="C165" i="308"/>
  <c r="D165" i="308"/>
  <c r="B163" i="308"/>
  <c r="C163" i="308"/>
  <c r="B165" i="308"/>
  <c r="B164" i="308"/>
  <c r="F78" i="308"/>
  <c r="E2" i="311"/>
  <c r="E165" i="308" s="1"/>
  <c r="D2" i="311"/>
  <c r="E164" i="308" s="1"/>
  <c r="C2" i="311"/>
  <c r="E163" i="308" s="1"/>
  <c r="C82" i="308"/>
  <c r="F77" i="308"/>
  <c r="E77" i="308"/>
  <c r="E74" i="308"/>
  <c r="E78" i="308"/>
  <c r="F75" i="308"/>
  <c r="E79" i="308"/>
  <c r="F79" i="308"/>
  <c r="E75" i="308"/>
  <c r="F82" i="308"/>
  <c r="E80" i="308"/>
  <c r="E82" i="308"/>
  <c r="F76" i="308"/>
  <c r="F74" i="308"/>
  <c r="F81" i="308"/>
  <c r="D82" i="308"/>
  <c r="E76" i="308"/>
  <c r="F80" i="308"/>
  <c r="E81" i="308"/>
  <c r="E172" i="308"/>
  <c r="C158" i="308"/>
  <c r="F121" i="308"/>
  <c r="F123" i="308"/>
  <c r="F125" i="308"/>
  <c r="F127" i="308"/>
  <c r="D158" i="308"/>
  <c r="F158" i="308"/>
  <c r="E158" i="308"/>
  <c r="F124" i="308"/>
  <c r="C128" i="308"/>
  <c r="D128" i="308"/>
  <c r="B128" i="308"/>
  <c r="F120" i="308"/>
  <c r="F122" i="308"/>
  <c r="F126" i="308"/>
  <c r="E128" i="308"/>
  <c r="F119" i="308"/>
  <c r="D25" i="308"/>
  <c r="A25" i="308"/>
  <c r="B1" i="312" a="1"/>
  <c r="G164" i="308" l="1"/>
  <c r="G165" i="308"/>
  <c r="G163" i="308"/>
  <c r="B1" i="312"/>
  <c r="D60" i="308"/>
  <c r="D64" i="308"/>
  <c r="D67" i="308"/>
  <c r="D62" i="308"/>
  <c r="D65" i="308"/>
  <c r="D68" i="308"/>
  <c r="D63" i="308"/>
  <c r="D66" i="308"/>
  <c r="B6" i="243"/>
  <c r="B4" i="52"/>
  <c r="B24" i="52" s="1"/>
  <c r="C65" i="308"/>
  <c r="D52" i="308"/>
  <c r="C63" i="308"/>
  <c r="C53" i="308"/>
  <c r="C60" i="308"/>
  <c r="E1" i="312" s="1"/>
  <c r="C52" i="308"/>
  <c r="C55" i="308"/>
  <c r="C51" i="308"/>
  <c r="C62" i="308"/>
  <c r="D49" i="308"/>
  <c r="C68" i="308"/>
  <c r="C64" i="308"/>
  <c r="D55" i="308"/>
  <c r="D51" i="308"/>
  <c r="C67" i="308"/>
  <c r="D54" i="308"/>
  <c r="D50" i="308"/>
  <c r="C54" i="308"/>
  <c r="C50" i="308"/>
  <c r="C66" i="308"/>
  <c r="D53" i="308"/>
  <c r="F128" i="308"/>
  <c r="E65" i="308" l="1"/>
  <c r="F65" i="308"/>
  <c r="E53" i="308"/>
  <c r="E51" i="308"/>
  <c r="E50" i="308"/>
  <c r="E2" i="312"/>
  <c r="B2" i="312"/>
  <c r="B3" i="312"/>
  <c r="F67" i="308"/>
  <c r="E67" i="308"/>
  <c r="D69" i="308"/>
  <c r="E69" i="308"/>
  <c r="F68" i="308"/>
  <c r="C69" i="308"/>
  <c r="F69" i="308"/>
  <c r="E68" i="308"/>
  <c r="E64" i="308"/>
  <c r="E60" i="308"/>
  <c r="F62" i="308"/>
  <c r="E66" i="308"/>
  <c r="E63" i="308"/>
  <c r="F66" i="308"/>
  <c r="F64" i="308"/>
  <c r="E62" i="308"/>
  <c r="F63" i="308"/>
  <c r="F167" i="308"/>
  <c r="D167" i="308"/>
  <c r="C167" i="308"/>
  <c r="E167" i="308"/>
  <c r="B167" i="308"/>
  <c r="B4" i="312" l="1"/>
  <c r="B9" i="312" s="1" a="1"/>
  <c r="B9" i="312" s="1"/>
  <c r="G167" i="308" l="1"/>
  <c r="A9" i="312" a="1"/>
  <c r="A9" i="312" s="1"/>
  <c r="D31" i="312" l="1"/>
  <c r="D17" i="312"/>
  <c r="D24" i="312"/>
  <c r="D18" i="312"/>
  <c r="D21" i="312"/>
  <c r="D9" i="312"/>
  <c r="D27" i="312"/>
  <c r="D11" i="312"/>
  <c r="D20" i="312"/>
  <c r="D25" i="312"/>
  <c r="D15" i="312"/>
  <c r="D16" i="312"/>
  <c r="D14" i="312"/>
  <c r="D28" i="312"/>
  <c r="D13" i="312"/>
  <c r="D23" i="312"/>
  <c r="D22" i="312"/>
  <c r="D19" i="312"/>
  <c r="D12" i="312"/>
  <c r="D29" i="312"/>
  <c r="D26" i="312"/>
  <c r="D10" i="312"/>
  <c r="D30" i="312"/>
  <c r="C61" i="308" l="1"/>
  <c r="C9" i="312" l="1" a="1"/>
  <c r="C47" i="308" s="1"/>
  <c r="C9" i="312" l="1"/>
  <c r="E54" i="308" l="1"/>
  <c r="E52" i="308"/>
  <c r="E55" i="308"/>
  <c r="E49" i="308"/>
  <c r="E17" i="312"/>
  <c r="E10" i="312"/>
  <c r="E14" i="312"/>
  <c r="E15" i="312"/>
  <c r="E13" i="312"/>
  <c r="E25" i="312"/>
  <c r="E16" i="312"/>
  <c r="E12" i="312"/>
  <c r="E19" i="312"/>
  <c r="E21" i="312"/>
  <c r="E23" i="312"/>
  <c r="E30" i="312"/>
  <c r="E28" i="312"/>
  <c r="E24" i="312"/>
  <c r="E18" i="312"/>
  <c r="E11" i="312"/>
  <c r="E31" i="312"/>
  <c r="E27" i="312"/>
  <c r="E29" i="312"/>
  <c r="E26" i="312"/>
  <c r="E20" i="312"/>
  <c r="E22" i="312"/>
  <c r="E9" i="312"/>
  <c r="D61" i="308" l="1"/>
  <c r="B2" i="313" s="1"/>
  <c r="E61" i="308" l="1"/>
  <c r="F61" i="308"/>
  <c r="B11" i="52" l="1"/>
  <c r="B9" i="52"/>
  <c r="B20" i="52"/>
  <c r="B5" i="243"/>
  <c r="B19" i="52"/>
  <c r="B18" i="52"/>
  <c r="B16" i="52"/>
  <c r="B10" i="52"/>
  <c r="B32" i="52" s="1"/>
  <c r="B13" i="52"/>
  <c r="B4" i="243"/>
  <c r="B12" i="52"/>
  <c r="B17" i="52"/>
  <c r="B14" i="52"/>
  <c r="B8" i="52"/>
  <c r="B15" i="52"/>
  <c r="B22" i="52" l="1"/>
  <c r="B27" i="52" a="1"/>
  <c r="B27" i="52" l="1"/>
  <c r="B30" i="52" l="1"/>
  <c r="B31" i="52" s="1"/>
  <c r="B29" i="5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cellMetadata count="1">
    <bk>
      <rc t="1" v="0"/>
    </bk>
  </cellMetadata>
  <valueMetadata count="4">
    <bk>
      <rc t="2" v="0"/>
    </bk>
    <bk>
      <rc t="2" v="1"/>
    </bk>
    <bk>
      <rc t="2" v="2"/>
    </bk>
    <bk>
      <rc t="2" v="3"/>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<sst xmlns="http://schemas.openxmlformats.org/spreadsheetml/2006/main" count="2653" uniqueCount="753">
  <si>
    <t>LOB</t>
  </si>
  <si>
    <t>DOMAIN_NAME</t>
  </si>
  <si>
    <t>PROJECT_NAME</t>
  </si>
  <si>
    <t>DB_NAME</t>
  </si>
  <si>
    <t>SF_TABLE_NAME</t>
  </si>
  <si>
    <t>SF_USER_LABEL</t>
  </si>
  <si>
    <t>SF_COLUMN_NAME</t>
  </si>
  <si>
    <t>BUG</t>
  </si>
  <si>
    <t>Defect ID</t>
  </si>
  <si>
    <t>BG_BUG_ID</t>
  </si>
  <si>
    <t>Detected By</t>
  </si>
  <si>
    <t>BG_DETECTED_BY</t>
  </si>
  <si>
    <t>Detected in Cycle</t>
  </si>
  <si>
    <t>BG_DETECTED_IN_RCYC</t>
  </si>
  <si>
    <t>Detected in Release</t>
  </si>
  <si>
    <t>BG_DETECTED_IN_REL</t>
  </si>
  <si>
    <t>Detected on Date</t>
  </si>
  <si>
    <t>BG_DETECTION_DATE</t>
  </si>
  <si>
    <t>Priority</t>
  </si>
  <si>
    <t>BG_PRIORITY</t>
  </si>
  <si>
    <t>Severity</t>
  </si>
  <si>
    <t>BG_SEVERITY</t>
  </si>
  <si>
    <t>Status</t>
  </si>
  <si>
    <t>BG_STATUS</t>
  </si>
  <si>
    <t>Root Cause</t>
  </si>
  <si>
    <t>Sub-Cause</t>
  </si>
  <si>
    <t>Vendor Variance?</t>
  </si>
  <si>
    <t>*Detected in Phase</t>
  </si>
  <si>
    <t>Application Under Test</t>
  </si>
  <si>
    <t>CYCL_FOLD</t>
  </si>
  <si>
    <t>Target Cycle</t>
  </si>
  <si>
    <t>CF_ASSIGN_RCYC</t>
  </si>
  <si>
    <t>Test Set Folder ID</t>
  </si>
  <si>
    <t>CF_ITEM_ID</t>
  </si>
  <si>
    <t>RELEASE_CYCLES</t>
  </si>
  <si>
    <t>End Date</t>
  </si>
  <si>
    <t>RCYC_END_DATE</t>
  </si>
  <si>
    <t>Cycle ID</t>
  </si>
  <si>
    <t>RCYC_ID</t>
  </si>
  <si>
    <t>Name</t>
  </si>
  <si>
    <t>RCYC_NAME</t>
  </si>
  <si>
    <t>Release ID</t>
  </si>
  <si>
    <t>RCYC_PARENT_ID</t>
  </si>
  <si>
    <t>Start Date</t>
  </si>
  <si>
    <t>RCYC_START_DATE</t>
  </si>
  <si>
    <t>RELEASES</t>
  </si>
  <si>
    <t>REL_END_DATE</t>
  </si>
  <si>
    <t>REL_ID</t>
  </si>
  <si>
    <t>REL_NAME</t>
  </si>
  <si>
    <t>REL_START_DATE</t>
  </si>
  <si>
    <t>Project Name</t>
  </si>
  <si>
    <t>Project Complexity</t>
  </si>
  <si>
    <t>Area</t>
  </si>
  <si>
    <t>TEST</t>
  </si>
  <si>
    <t>Creation Date</t>
  </si>
  <si>
    <t>TS_CREATION_DATE</t>
  </si>
  <si>
    <t>Test Name</t>
  </si>
  <si>
    <t>TS_NAME</t>
  </si>
  <si>
    <t>Test ID</t>
  </si>
  <si>
    <t>TS_TEST_ID</t>
  </si>
  <si>
    <t>Type</t>
  </si>
  <si>
    <t>TS_TYPE</t>
  </si>
  <si>
    <t>Automated</t>
  </si>
  <si>
    <t>Regression</t>
  </si>
  <si>
    <t>Test Stage</t>
  </si>
  <si>
    <t>TESTCYCL</t>
  </si>
  <si>
    <t>TC_ASSIGN_RCYC</t>
  </si>
  <si>
    <t>TestSet</t>
  </si>
  <si>
    <t>TC_CYCLE_ID</t>
  </si>
  <si>
    <t>Exec Date</t>
  </si>
  <si>
    <t>TC_EXEC_DATE</t>
  </si>
  <si>
    <t>Planned Exec Date</t>
  </si>
  <si>
    <t>TC_PLAN_SCHEDULING_DATE</t>
  </si>
  <si>
    <t>TC_STATUS</t>
  </si>
  <si>
    <t>Test</t>
  </si>
  <si>
    <t>TC_TEST_ID</t>
  </si>
  <si>
    <t>Test Instance</t>
  </si>
  <si>
    <t>TC_TEST_INSTANCE</t>
  </si>
  <si>
    <t>Closed on Date</t>
  </si>
  <si>
    <t>BG_CLOSING_DATE</t>
  </si>
  <si>
    <t>BG_USER_TEMPLATE_01</t>
  </si>
  <si>
    <t>BG_USER_TEMPLATE_10</t>
  </si>
  <si>
    <t>BG_USER_TEMPLATE_13</t>
  </si>
  <si>
    <t>BG_USER_TEMPLATE_16</t>
  </si>
  <si>
    <t>BG_USER_TEMPLATE_17</t>
  </si>
  <si>
    <t>REL_USER_TEMPLATE_01</t>
  </si>
  <si>
    <t>REL_USER_TEMPLATE_02</t>
  </si>
  <si>
    <t>REL_USER_TEMPLATE_03</t>
  </si>
  <si>
    <t>TS_USER_TEMPLATE_11</t>
  </si>
  <si>
    <t>TS_USER_TEMPLATE_12</t>
  </si>
  <si>
    <t>TS_USER_TEMPLATE_13</t>
  </si>
  <si>
    <t>Reopen Count</t>
  </si>
  <si>
    <t>BG_USER_TEMPLATE_14</t>
  </si>
  <si>
    <t>/Root/BTM Pay No Pay Release-1/BTM Pay No Pay Release-1A: Migration</t>
  </si>
  <si>
    <t>/Root/BTM Pay No Pay Release-1/BTM Pay No Pay Release-1A: Migration/Baseline/FSR</t>
  </si>
  <si>
    <t>/Root/BTM Pay No Pay Release-1/BTM Pay No Pay Release-1A: Migration/Baseline/FSR/3. iTracII/1 ABM Deposit Monitoring</t>
  </si>
  <si>
    <t>/Root/BTM Pay No Pay Release-1/BTM Pay No Pay Release-1A: Migration/Baseline/FSR/FRM - FICO/1 Communication Channels</t>
  </si>
  <si>
    <t>/Root/BTM Pay No Pay Release-1/BTM Pay No Pay Release-1A: Migration/Baseline/FSR/FRM - FICO/4 Mass Compromise/FRM</t>
  </si>
  <si>
    <t>/Root/BTM Pay No Pay Release-1/BTM Pay No Pay Release-1A: Migration/Baseline/FSR/PRM/PRM GUI</t>
  </si>
  <si>
    <t>/Root/BTM Pay No Pay Release-1/BTM Pay No Pay Release-1A: Migration/Baseline/FSR/PRM/PRM NRT to PRM GUI/TSYS to PRM GUI</t>
  </si>
  <si>
    <t>URL</t>
  </si>
  <si>
    <t>Domain</t>
  </si>
  <si>
    <t>MLIDT</t>
  </si>
  <si>
    <t>Project</t>
  </si>
  <si>
    <t>UserName</t>
  </si>
  <si>
    <t>PROJECT</t>
  </si>
  <si>
    <t>Cycle / Sprint</t>
  </si>
  <si>
    <t>Planned Start</t>
  </si>
  <si>
    <t>Actual Start</t>
  </si>
  <si>
    <t>Planned End</t>
  </si>
  <si>
    <t>Actual End</t>
  </si>
  <si>
    <t>Daily Throughput</t>
  </si>
  <si>
    <t># Manual TCs</t>
  </si>
  <si>
    <t># Automated TCs*</t>
  </si>
  <si>
    <t>% Total TCs</t>
  </si>
  <si>
    <t>Total Executed</t>
  </si>
  <si>
    <t>Passed</t>
  </si>
  <si>
    <t>Failed</t>
  </si>
  <si>
    <t>Not Completed</t>
  </si>
  <si>
    <t>Blocked</t>
  </si>
  <si>
    <t>No Run</t>
  </si>
  <si>
    <t>N/A (Descoped)</t>
  </si>
  <si>
    <t>Cumulative Totals by Phase</t>
  </si>
  <si>
    <t># Automated Regression TCs</t>
  </si>
  <si>
    <t>% Automation Usage</t>
  </si>
  <si>
    <t>Cycle</t>
  </si>
  <si>
    <t>Variances</t>
  </si>
  <si>
    <t>#</t>
  </si>
  <si>
    <t>Created</t>
  </si>
  <si>
    <t>Closed</t>
  </si>
  <si>
    <t>Opened &amp; Closed on Same Day</t>
  </si>
  <si>
    <t>NETWORKDAYS</t>
  </si>
  <si>
    <t>SEV_NUM</t>
  </si>
  <si>
    <t>SEV_NAME</t>
  </si>
  <si>
    <t>New</t>
  </si>
  <si>
    <t>Opened</t>
  </si>
  <si>
    <t>Fixed</t>
  </si>
  <si>
    <t>Awaiting</t>
  </si>
  <si>
    <t>Monitor</t>
  </si>
  <si>
    <t>Reopen</t>
  </si>
  <si>
    <t>Deferred</t>
  </si>
  <si>
    <t>Rejected</t>
  </si>
  <si>
    <t>Total</t>
  </si>
  <si>
    <t>1 - Showstopper</t>
  </si>
  <si>
    <t>2 - Critical</t>
  </si>
  <si>
    <t>3 - Non-critical</t>
  </si>
  <si>
    <t>4 - Live with</t>
  </si>
  <si>
    <t>Root Cause Subtype/Status</t>
  </si>
  <si>
    <t>Sev 1</t>
  </si>
  <si>
    <t>Sev 2</t>
  </si>
  <si>
    <t xml:space="preserve"> Sev 3</t>
  </si>
  <si>
    <t xml:space="preserve"> Sev 4</t>
  </si>
  <si>
    <t>CYCLE</t>
  </si>
  <si>
    <t>Code</t>
  </si>
  <si>
    <t>Data</t>
  </si>
  <si>
    <t>Test Environment</t>
  </si>
  <si>
    <t>Not Yet Analyzed</t>
  </si>
  <si>
    <t>SIT/Feature</t>
  </si>
  <si>
    <t>UAT/Release</t>
  </si>
  <si>
    <t>SIT Effectiveness</t>
  </si>
  <si>
    <t>Total Number of Variances</t>
  </si>
  <si>
    <t xml:space="preserve">PROJECT NAME:  </t>
  </si>
  <si>
    <t>Cycle / Sprint:</t>
  </si>
  <si>
    <t>Date</t>
  </si>
  <si>
    <t>App Stream</t>
  </si>
  <si>
    <t>SUMMARY</t>
  </si>
  <si>
    <t xml:space="preserve"> </t>
  </si>
  <si>
    <t>TARGET SCHEDULE</t>
  </si>
  <si>
    <t>Imp. Date:</t>
  </si>
  <si>
    <t>TEST COVERAGE</t>
  </si>
  <si>
    <t>Daily Target    =</t>
  </si>
  <si>
    <t xml:space="preserve"># Manual 
TCs </t>
  </si>
  <si>
    <t>*Automation metrics to be included where applicable</t>
  </si>
  <si>
    <t># Manual 
TCs</t>
  </si>
  <si>
    <t xml:space="preserve">Completed   </t>
  </si>
  <si>
    <t>ENVIRONMENT DOWNTIME</t>
  </si>
  <si>
    <t>Impacted Application</t>
  </si>
  <si>
    <t>Duration of time Lost (Hours)</t>
  </si>
  <si>
    <t>Effort time lost (Hours)</t>
  </si>
  <si>
    <t>Cycle Effort Time Lost</t>
  </si>
  <si>
    <t>Other (Provide name)</t>
  </si>
  <si>
    <t>Cumulative</t>
  </si>
  <si>
    <t>DAILY VARIANCE CREATED / CLOSED</t>
  </si>
  <si>
    <t>CUMULATIVE VARIANCES BY SEVERITY AND STATUS</t>
  </si>
  <si>
    <t>SEV 1 AGING</t>
  </si>
  <si>
    <t>Awaiting Retest</t>
  </si>
  <si>
    <t>0 - 4 days</t>
  </si>
  <si>
    <t>&gt; 4 Days</t>
  </si>
  <si>
    <t>Variance Notes</t>
  </si>
  <si>
    <t>Issue Details</t>
  </si>
  <si>
    <t>Resolution Owner</t>
  </si>
  <si>
    <t>Status/Progress</t>
  </si>
  <si>
    <t>CUMULATIVE VARIANCES BY ROOT CAUSE AND STATUS</t>
  </si>
  <si>
    <t>Sev 3</t>
  </si>
  <si>
    <t>Sev 4</t>
  </si>
  <si>
    <t>Assigned Var. by Department</t>
  </si>
  <si>
    <t>ADM</t>
  </si>
  <si>
    <t>Business</t>
  </si>
  <si>
    <t>B&amp;SA</t>
  </si>
  <si>
    <t>QC</t>
  </si>
  <si>
    <t>  Total Variances</t>
  </si>
  <si>
    <t>CUMULATIVE SIT EFFECTIVENESS*</t>
  </si>
  <si>
    <t xml:space="preserve">Total Number of Variances </t>
  </si>
  <si>
    <t>*Table to be included in the Daily Status Report at the end of every phase</t>
  </si>
  <si>
    <t>*To be included where applicable</t>
  </si>
  <si>
    <t xml:space="preserve">OVERALL STATUS: </t>
  </si>
  <si>
    <t>Look up value</t>
  </si>
  <si>
    <t>Row Number</t>
  </si>
  <si>
    <t>TARGET SCHEDULE - Number of Rows to be affected</t>
  </si>
  <si>
    <t>TARGET SCHEDULE - Delete/Insert Rows</t>
  </si>
  <si>
    <t>TARGET SCHEDULE - Number of Cycles</t>
  </si>
  <si>
    <t>TARGET SCHEDULE - Number of Rows</t>
  </si>
  <si>
    <t>TARGET SCHEDULE - Affected Rows</t>
  </si>
  <si>
    <t>PROJECT NAME:  Target Address</t>
  </si>
  <si>
    <t>Cycle / Sprint: Target Address</t>
  </si>
  <si>
    <t>OVERALL STATUS: Target Address</t>
  </si>
  <si>
    <t>Date Target Address</t>
  </si>
  <si>
    <t>Imp. Date: Target Address</t>
  </si>
  <si>
    <t>App Stream Target Address</t>
  </si>
  <si>
    <t>Technical Constraint</t>
  </si>
  <si>
    <t>Business Requirements</t>
  </si>
  <si>
    <t>Design</t>
  </si>
  <si>
    <t>Development Documentation</t>
  </si>
  <si>
    <t>Duplicate</t>
  </si>
  <si>
    <t>Existing Production Defect</t>
  </si>
  <si>
    <t>Not a Variance</t>
  </si>
  <si>
    <t>Solution Requirements</t>
  </si>
  <si>
    <t>Test Case</t>
  </si>
  <si>
    <t>DAILY STATUS REPORT</t>
  </si>
  <si>
    <t>CITRIX Issues</t>
  </si>
  <si>
    <t>PBPT</t>
  </si>
  <si>
    <t>Domain Name</t>
  </si>
  <si>
    <t>ALM Project Name</t>
  </si>
  <si>
    <t>Open</t>
  </si>
  <si>
    <t>Lookup Value</t>
  </si>
  <si>
    <t>Summary</t>
  </si>
  <si>
    <t>Total Planned</t>
  </si>
  <si>
    <t>Cumulative Totals for Project</t>
  </si>
  <si>
    <t>DDGS</t>
  </si>
  <si>
    <r>
      <rPr>
        <b/>
        <sz val="7.75"/>
        <rFont val="Trebuchet MS"/>
        <family val="2"/>
      </rPr>
      <t>OVERALL STATUS:</t>
    </r>
    <r>
      <rPr>
        <sz val="7.75"/>
        <rFont val="Trebuchet MS"/>
        <family val="2"/>
      </rPr>
      <t xml:space="preserve"> </t>
    </r>
  </si>
  <si>
    <t>TEM</t>
  </si>
  <si>
    <t>Total Planned to Date</t>
  </si>
  <si>
    <t>COLT (IMP COLT)</t>
  </si>
  <si>
    <t>CORE</t>
  </si>
  <si>
    <t>CSB</t>
  </si>
  <si>
    <t>ENVOY/THS</t>
  </si>
  <si>
    <t>FTA</t>
  </si>
  <si>
    <t>FTOL</t>
  </si>
  <si>
    <t>FX</t>
  </si>
  <si>
    <t>GIS</t>
  </si>
  <si>
    <t>HOSP</t>
  </si>
  <si>
    <t>IPS</t>
  </si>
  <si>
    <t>MOTE</t>
  </si>
  <si>
    <t>PCA/SAV</t>
  </si>
  <si>
    <t>Portfolio Plus</t>
  </si>
  <si>
    <t>RDS</t>
  </si>
  <si>
    <t>SDB</t>
  </si>
  <si>
    <t>STB</t>
  </si>
  <si>
    <t>Content</t>
  </si>
  <si>
    <t>Deployment</t>
  </si>
  <si>
    <t>https://alm.cibc.com:8443/qcbin</t>
  </si>
  <si>
    <t>Observation</t>
  </si>
  <si>
    <t>Lending_F25</t>
  </si>
  <si>
    <t>mlidt_lending_f25_db</t>
  </si>
  <si>
    <t>3624-30-Yr-AM-DM-CLASS-mMTG-FEB 2025-Release</t>
  </si>
  <si>
    <t>3624-30-Yr-Amortization-Jan 2025-Release</t>
  </si>
  <si>
    <t>3624-30-Yr-Amortization-Nov-Release</t>
  </si>
  <si>
    <t>3624-30 Yr amortization-Nov release</t>
  </si>
  <si>
    <t>April 6 Release Regression Testing - Lending &amp; ECTT Services 25.3 (Apr 6, 2025)</t>
  </si>
  <si>
    <t>Feb 2 release regression testing - Lending &amp; ECTT Services 25.2</t>
  </si>
  <si>
    <t>February Release PAT</t>
  </si>
  <si>
    <t>PAT</t>
  </si>
  <si>
    <t>INC16699108 – C0038 logs folder create in production</t>
  </si>
  <si>
    <t>November 17 Release Regression Testing - Lending &amp; Deposit &amp; Prod Services 25.1</t>
  </si>
  <si>
    <t>November 17 Release Regression Testing</t>
  </si>
  <si>
    <t>PBPT 2422 February 2025 Rel</t>
  </si>
  <si>
    <t>PBPT 2422 November 2024 Rel</t>
  </si>
  <si>
    <t>PBPT 2646 MA HPP Refinance</t>
  </si>
  <si>
    <t>PBPT 2713 Horizon Delta Migration</t>
  </si>
  <si>
    <t>PBPT 2713 Horizon Delta MiIgration</t>
  </si>
  <si>
    <t>PBPT 2780 - Consumer Privacy Protection - February Release</t>
  </si>
  <si>
    <t>PBPT 2800 CA Foundation - IDP MVP2</t>
  </si>
  <si>
    <t>IDP MVP2</t>
  </si>
  <si>
    <t>PBPT 3425 - SIT</t>
  </si>
  <si>
    <t>PBPT 3425</t>
  </si>
  <si>
    <t>PBPT 3425 - UAT</t>
  </si>
  <si>
    <t>PBPT-3239 Discharge Backdated Report CR02</t>
  </si>
  <si>
    <t>PBPT-3550 | Fix in CLASS BCLASS TU Identity Alerts are not being captured properly</t>
  </si>
  <si>
    <t>PBPT2616 Renewal Due Diligence</t>
  </si>
  <si>
    <t>PBPT3325 HPP Amendment Pkg in Quebec</t>
  </si>
  <si>
    <t>PBPT3384-AMS2024(CIBC_NON_CIBC)</t>
  </si>
  <si>
    <t>AMS2024</t>
  </si>
  <si>
    <t>PBPTINKT-3657 - Update CIBC Signature on HPP Loan Terms</t>
  </si>
  <si>
    <t>PBPTINTK – 3746 – PLC Letter 70 Automation</t>
  </si>
  <si>
    <t>PBPTINTK 2444 CR 17</t>
  </si>
  <si>
    <t>PBPTINTK 2444 CR17</t>
  </si>
  <si>
    <t>PBPTINTK 2921 - LCMS Routing</t>
  </si>
  <si>
    <t>PBPTINTK 3081 - Hopper 1 - Insurer Enhancements</t>
  </si>
  <si>
    <t>PBPTINTK 3147 HPP RENEG</t>
  </si>
  <si>
    <t>PBPTINTK 4220 - FLM.com Cookie Consent Management Integration</t>
  </si>
  <si>
    <t>PBPTINTK- 3366 - OSFI MVP 8.2</t>
  </si>
  <si>
    <t>PBPTINTK-2378 Original Beacon Scores Variances</t>
  </si>
  <si>
    <t>PBPTINTK-2574 OSFI PEI CR 295</t>
  </si>
  <si>
    <t>PBPTINTK-2580 Project Unity</t>
  </si>
  <si>
    <t>PBPTINTK-2603 - Excalibur - Regular Renewal Agreements - CR05 Changes</t>
  </si>
  <si>
    <t>PBPTINTK-2603 - Excalibur - Regular Renewal Agreements Missing Deferred Interest</t>
  </si>
  <si>
    <t>PBPTINTK-2603 MTG renewal agreement</t>
  </si>
  <si>
    <t>PBPTINTK-2682 - Mortgage Insurance Affordability</t>
  </si>
  <si>
    <t>PBPTINTK-2682 - Mortgage Insurance Affordability (COINS 148 Pilot)</t>
  </si>
  <si>
    <t>PBPTINTK-2723 Increase the buffer by 1 day for Form 13042 (Pre-Renewal for Loans)</t>
  </si>
  <si>
    <t>Increase the buffer by 1 day for Form 13042 (Pre-Renewal for Loans) and Form 13044 (BTP Promo for RESL)</t>
  </si>
  <si>
    <t>PBPTINTK-2851 NDA Project Amber</t>
  </si>
  <si>
    <t>NDA Amber</t>
  </si>
  <si>
    <t>PBPTINTK-2851 Project Amber - CR01</t>
  </si>
  <si>
    <t>PBPTINTK-3082 OSFI Hopper Optimization – CCB_QFA and Rental Offset</t>
  </si>
  <si>
    <t>PBPTINTK-3082 OSFI Hopper Optimization – CCB_QFA and Rental Offset - COINS GDF Pilot Release</t>
  </si>
  <si>
    <t>PBPTINTK-3082 OSFI Hopper Optimization – CR2 Total Prior Charges (PCR197)</t>
  </si>
  <si>
    <t>PBPTINTK-3082 OSFI Hopper Optimization- RO &amp; CCB-QFA- COINS GDF Pilot Release</t>
  </si>
  <si>
    <t>PBPTINTK-3200 MTG Residential data fix</t>
  </si>
  <si>
    <t>PBPTINTK-3309 Mortgage Post Funding Disclosure Incorrect P&amp;I</t>
  </si>
  <si>
    <t>PBPTINTK-3340 HPP CLP Control</t>
  </si>
  <si>
    <t>PBPTINTK-3366 -PCR 306 MVP8.2-Duplicate Funding Conditions</t>
  </si>
  <si>
    <t>PBPTINTK-3384 AMS 2024 -Warranty Fix</t>
  </si>
  <si>
    <t>PBPTINTK-3496 OSFI MVP16-CR 26,41,52-November Release</t>
  </si>
  <si>
    <t>PBPTINTK-3537––RESL Modernization Pod Document enhancements MVP2</t>
  </si>
  <si>
    <t>PBPTINTK-3553 -CRM to mMortgage Migration</t>
  </si>
  <si>
    <t>PBPTINTK-3624 - 30 year mortgage</t>
  </si>
  <si>
    <t>PBPTINTK-3686 - PBPTINTK-3686 (PAT)+PBPTINTK-3843 (E&amp;W)  -April  Release</t>
  </si>
  <si>
    <t>PBPTINTK-3686 - Pre-Adjudication in mMortgage (PAT) -Feb Release</t>
  </si>
  <si>
    <t>PBPTINTK-3691- New DM BRUL for Financial Statements Older than 18 Months</t>
  </si>
  <si>
    <t>PBPTINTK-3692- Personal Unsecured CIBC Credit Cap</t>
  </si>
  <si>
    <t>PBPTINTK-3698-Loan to Income</t>
  </si>
  <si>
    <t>PBPTINTK-3698-Loan to Income_Feb rel</t>
  </si>
  <si>
    <t>PBPTINTK-3698-Loan to Income_CR07</t>
  </si>
  <si>
    <t>PBPTINTK-3708-LFA for Attaching HPP PLC to Mortgage</t>
  </si>
  <si>
    <t>PBPTINTK-3717-Unsecured Application Scorecard Re-weights</t>
  </si>
  <si>
    <t>PBPTINTK-3788-NPRM report update</t>
  </si>
  <si>
    <t>PBPTINTK-3805 Proof of Enrollment Update</t>
  </si>
  <si>
    <t>PBPTINTK-3813 HPP Legal Service code QC</t>
  </si>
  <si>
    <t>PBPTINTK-3924 De-risking EDH</t>
  </si>
  <si>
    <t>PBPTINTK-3934 F24 DM Rule Testing - Test Lab</t>
  </si>
  <si>
    <t>PBPTINTK-3936 UPLC PA Decision Manager Flow Update</t>
  </si>
  <si>
    <t>PBPTINTK-4094 Tax forms_EAS Support</t>
  </si>
  <si>
    <t>PBPTINTK-4094</t>
  </si>
  <si>
    <t>PBPTINTK-4133 WhatIF Calculator</t>
  </si>
  <si>
    <t>PBPTINTK-4191 DXC Support</t>
  </si>
  <si>
    <t>PBPTINTK-4209 CPP Consent CLASS &amp; STB</t>
  </si>
  <si>
    <t>PBPTINTK-4320 ECIF R65 Consumer Regression Testing</t>
  </si>
  <si>
    <t>PBPTINTK2378_CR20_Original Beacon Score Variances</t>
  </si>
  <si>
    <t>PBPTINTK2780 - Consumer Privacy Protection - November release</t>
  </si>
  <si>
    <t>PBPTINTK3239 – Discharges – Backdating Reporting</t>
  </si>
  <si>
    <t>PBPTINTK3239 – Discharges – Backdating Reporting_1</t>
  </si>
  <si>
    <t>PBPTINTK3273_Renewal Letter for Canadian Mortgage Charter</t>
  </si>
  <si>
    <t>PRB0031698-Create new jobs to generate Monthly Batman reports via ECS_V1.0</t>
  </si>
  <si>
    <t>PRB0031862 - Target Fix to not allow tab character on PAC screen</t>
  </si>
  <si>
    <t>PBPT2616 Renewal Due Diligence - MVP1.1 Mass</t>
  </si>
  <si>
    <t>PBPT2616 Renewal Due Diligence – MVP1 Mass Launch</t>
  </si>
  <si>
    <t>PBPTINTK – 3135 PLC Payout Balance</t>
  </si>
  <si>
    <t>PBPTINTK-2444 New Offers and Profitability Enhancement</t>
  </si>
  <si>
    <t>PBPTINTK-3215,3216,3297 - HPP CLP Payment Reversals</t>
  </si>
  <si>
    <t>PRB0032233 - Firstline Vulnerability fixes 2025</t>
  </si>
  <si>
    <t>Release</t>
  </si>
  <si>
    <t>Release Index</t>
  </si>
  <si>
    <t>PBPT2616 Renewal Due Diligence - MVP2</t>
  </si>
  <si>
    <t>PBPTINTK- 3366 - OSFI MVP 8.2 - COINS GDF 149</t>
  </si>
  <si>
    <t>PBPTINTK- 3366 - OSFI MVP 8.2 COINS 148</t>
  </si>
  <si>
    <t>PBPTINTK-3963 Update Letter OS104N</t>
  </si>
  <si>
    <t xml:space="preserve"> CYCLE</t>
  </si>
  <si>
    <t xml:space="preserve"> Assigned Person</t>
  </si>
  <si>
    <t xml:space="preserve"> Sev</t>
  </si>
  <si>
    <t>Department</t>
  </si>
  <si>
    <t>Avaliable Departments</t>
  </si>
  <si>
    <t xml:space="preserve">  Sev 1</t>
  </si>
  <si>
    <t xml:space="preserve">  Sev 2</t>
  </si>
  <si>
    <t xml:space="preserve">  Sev 3</t>
  </si>
  <si>
    <t xml:space="preserve">  Sev 4</t>
  </si>
  <si>
    <t>PBPTINTK-3366 - OSFI MVP 8.2 - 1E</t>
  </si>
  <si>
    <t>April Release Lending Bundled PAT</t>
  </si>
  <si>
    <t>April Release</t>
  </si>
  <si>
    <t>PBPT 2800 CA Foundation - IDP MVP2 - Business</t>
  </si>
  <si>
    <t>PBPT 4037 Enhance CBG API Authentication Solution for TransUnion</t>
  </si>
  <si>
    <t>PPBTINTK-3215/3216/3297 HPP CLP Control</t>
  </si>
  <si>
    <t>Cycle Start</t>
  </si>
  <si>
    <t>Cycle End</t>
  </si>
  <si>
    <t>Number of Workdays</t>
  </si>
  <si>
    <t>Automated Target Daily Target</t>
  </si>
  <si>
    <t>Manual Daily Target</t>
  </si>
  <si>
    <t>Planned Automated for Cycle</t>
  </si>
  <si>
    <t>Planned Manual for Cycle</t>
  </si>
  <si>
    <t>Manual Cumulative Target</t>
  </si>
  <si>
    <t>Automated Cumulative Target</t>
  </si>
  <si>
    <t>Assigned Person</t>
  </si>
  <si>
    <t>PBPTINTK-3634 DM Table Externalization</t>
  </si>
  <si>
    <t>Feel free to delete the formulas in this sheet and replace them with the actual targets</t>
  </si>
  <si>
    <t>If the formulas in this sheet are broken, that is because the actual start and end date fields in the DSR are empty</t>
  </si>
  <si>
    <t>Henry</t>
  </si>
  <si>
    <t>PBPT 2800 CA Foundation - IDP MVP2_May Release</t>
  </si>
  <si>
    <t>PBPTINTK 3081 - Hopper 1 - Warranty Fixes</t>
  </si>
  <si>
    <t>PBPTINTK 3081 - Hopper 1 - Insurer Enhancements &amp; Prior Charges</t>
  </si>
  <si>
    <t>PBPTINTK 3199-Target CCR- Target Windows and DB Upgrade</t>
  </si>
  <si>
    <t>PBPTINTK 4017 - SR051898 – TMS -Decommission-PBPT applications</t>
  </si>
  <si>
    <t>PBPTINTK 4105 Client At Risk</t>
  </si>
  <si>
    <t>PBPTINTK-3750 C3 - Include Data Elements in Lending BI and EDH</t>
  </si>
  <si>
    <t>PBPTINTK-3890 AML CDD Step in CDD Acceptance Offer Letter</t>
  </si>
  <si>
    <t>PBPTINTK-3890 - AML CDD Step in CDD Acceptance Offer Letter</t>
  </si>
  <si>
    <t>PBPTINTK-3955 C0037 EAS support</t>
  </si>
  <si>
    <t>PBPTINTK-4033-Hopper 3 and Hopper 5</t>
  </si>
  <si>
    <t>Note, if you delete the formulas, once the next cycle starts the values in the this sheet will be wrong</t>
  </si>
  <si>
    <t>Details</t>
  </si>
  <si>
    <t>Assigned</t>
  </si>
  <si>
    <t xml:space="preserve"> Count</t>
  </si>
  <si>
    <t>Concise Explanation of Why Execution Goal Not Met</t>
  </si>
  <si>
    <t>sinarshd</t>
  </si>
  <si>
    <t>PBPTINTK-3686(PAT)+3843(E&amp;W)</t>
  </si>
  <si>
    <t>PBPTINTK-3718 OSFI MVP5.2-Administrative Approvals</t>
  </si>
  <si>
    <t>PBPTINTK2646 May Release</t>
  </si>
  <si>
    <t>MA HPP Rfi</t>
  </si>
  <si>
    <t>PBPTINTK-4102 RESL POD-Shift Left MVP1</t>
  </si>
  <si>
    <t>PBPTINTK-4141 - Teranet Cloud Migration</t>
  </si>
  <si>
    <t>PBPT 3610 - Sagen Data Center Migration</t>
  </si>
  <si>
    <t>PBPT2616 Renewal Due Diligence – MVP2</t>
  </si>
  <si>
    <t>PBPTINTK-3694 HERMES PCR 29/30-12425PBL DDGS Form</t>
  </si>
  <si>
    <t>PBPTINTK-3694 HERMES PCR 29/30</t>
  </si>
  <si>
    <t>PBPTINTK-3924 EDH to Edge Migration (Stream 2)</t>
  </si>
  <si>
    <t>Run DSR like normal</t>
  </si>
  <si>
    <t>Step 1</t>
  </si>
  <si>
    <t>Step 2</t>
  </si>
  <si>
    <t>Fill out the "Actual Start" and "Actual End" dates in "Target Schedule" section</t>
  </si>
  <si>
    <t>Step 3</t>
  </si>
  <si>
    <t>Go to the "Daily Target" sheet. This sheet will automatically create a daily target based on the planned test cases</t>
  </si>
  <si>
    <t>If you wish to change the daily targets, feel free to replace column B and C with your own numbers</t>
  </si>
  <si>
    <t>Step 4</t>
  </si>
  <si>
    <t>Go to the "AssignPeopleToDepartments" sheet and assign any ALM ids to their departments</t>
  </si>
  <si>
    <t>This sheet pulls all the people who have been assigned defects. As defects get created and assigned to new people, you will have to go back to this sheet and assign them</t>
  </si>
  <si>
    <t>If cell "G161" has an error message in it, that means there are people in the "AssignPeopleToDepartments" sheet that are not yet assigned a department</t>
  </si>
  <si>
    <t>Step 5</t>
  </si>
  <si>
    <t>If the summary in cell "A11" has an error message, make sure that the "Actual Start", "Actual End" dates are filled in and that the "Daily Target" sheet is filled in</t>
  </si>
  <si>
    <t>Once those cells are filled in, you can rerun the DSR to create the summary</t>
  </si>
  <si>
    <t>*Note, the first time you run the DSR on a project/a new cycle starts, the summary is likely to be wrong or error. Ensure the abovementioned fields are filled in and rerun</t>
  </si>
  <si>
    <t>Done</t>
  </si>
  <si>
    <t>There is a button in the "Login" sheet that you can press to copy the DSR to clipboard</t>
  </si>
  <si>
    <t>Instructions</t>
  </si>
  <si>
    <t>22272- Total Asset</t>
  </si>
  <si>
    <t>3624-30-YR-Amortization</t>
  </si>
  <si>
    <t>3624-30-Yr-Amortization-Jul2025-Release</t>
  </si>
  <si>
    <t>July 20 Release Regression Testing - Lending &amp; ECTT Services 25.4 (Jul 20, 2025)</t>
  </si>
  <si>
    <t>PBBT-13445 - Special Program Code LFA for FHDC Mortgages</t>
  </si>
  <si>
    <t>PBBT-23212 PCR 468-A Liabilities for post funding payouts</t>
  </si>
  <si>
    <t>PBBTINTK -22737 - PPSA Renewal Fee change for Saskatchewan</t>
  </si>
  <si>
    <t>PBBTINTK-22423 - PBBTINTK 22342 MI Lending</t>
  </si>
  <si>
    <t>IDP MVP2 - Business</t>
  </si>
  <si>
    <t>PBPT 2800 CA Foundation - IDP MVP2_July Release</t>
  </si>
  <si>
    <t>PBPTINTK 3084 : Hopper 4</t>
  </si>
  <si>
    <t>PBPTINTK 3084 Hopper 4</t>
  </si>
  <si>
    <t>EDH to EDGE Migration - Stream 2 (Bill C30)</t>
  </si>
  <si>
    <t>PBPTINTK-3215/3216/3297 HPP CLP Control</t>
  </si>
  <si>
    <t>PBPTINTK-3230/PBBT-12406</t>
  </si>
  <si>
    <t>FHSA WG</t>
  </si>
  <si>
    <t>PBPTINTK-3406 RO Address Change</t>
  </si>
  <si>
    <t>PBPTINTK-3094 RO Address Change</t>
  </si>
  <si>
    <t>PBPTINTK-3686(PAT)+3843(E&amp;W)-August release</t>
  </si>
  <si>
    <t>PBPTINTK-4119-Authentication-Transformation</t>
  </si>
  <si>
    <t>PBPTINTK-4176 Remediate DM LCMS</t>
  </si>
  <si>
    <t>PBPTINTK-4208 BUNDL and UCANDU Decommission</t>
  </si>
  <si>
    <t>PBPTINTK-4233 - PBBT13951 - FirstLine 30 day migration letters</t>
  </si>
  <si>
    <t>PBPTINTK-4252 MLI Provincial sales tax</t>
  </si>
  <si>
    <t>PRB0032442 - Firstline Vulnerability fixes 2025</t>
  </si>
  <si>
    <t>PTINTK - 16526 - PLC SOD Information Box Update</t>
  </si>
  <si>
    <t>Sept 21 Release Regression Testing - Lending &amp; ECTT Services 25.5 (Sep 21, 2025)</t>
  </si>
  <si>
    <t>nairvis</t>
  </si>
  <si>
    <t>upadhdhr</t>
  </si>
  <si>
    <t>ghutukad</t>
  </si>
  <si>
    <t>sharan</t>
  </si>
  <si>
    <t>edla</t>
  </si>
  <si>
    <t>nairt</t>
  </si>
  <si>
    <t>sonavans</t>
  </si>
  <si>
    <t>asingh3</t>
  </si>
  <si>
    <t>katre</t>
  </si>
  <si>
    <t>royman</t>
  </si>
  <si>
    <t>mandald</t>
  </si>
  <si>
    <t>punmiaa</t>
  </si>
  <si>
    <t>parekhs</t>
  </si>
  <si>
    <t>need to be fixed</t>
  </si>
  <si>
    <t>PBBT-23069 ECIF R67 consumer regression testing</t>
  </si>
  <si>
    <t>PBPT-2800 CA Foundation - IDP MVP2_August Release</t>
  </si>
  <si>
    <t>PBPT-2800 CA Foundation - IDP MVP2_July Release</t>
  </si>
  <si>
    <t>PBPT-2800 CA Foundation - IDP MVP3_September Release</t>
  </si>
  <si>
    <t>PBPTINTK-2800 IDP CIBC RMS New Loans Automation CR12</t>
  </si>
  <si>
    <t>CR12 New RMS Loan</t>
  </si>
  <si>
    <t>PBPTINTK-3069 - Project Guardian</t>
  </si>
  <si>
    <t>PBPTINTK-3908 - Quebec QCPA Reporting</t>
  </si>
  <si>
    <t>PBPTINTK-4397 RESL Re-Pricing Phase 2</t>
  </si>
  <si>
    <t>chintalh</t>
  </si>
  <si>
    <t>lellis</t>
  </si>
  <si>
    <t>July Release</t>
  </si>
  <si>
    <t>PBPTINTK 3924 - EDH to EDGE Migration - Stream 2.C (Bill C30)</t>
  </si>
  <si>
    <t>PBPTINTK-4061 Condo Fee</t>
  </si>
  <si>
    <t>nagarban</t>
  </si>
  <si>
    <t>bamigbol</t>
  </si>
  <si>
    <t>kchugh</t>
  </si>
  <si>
    <t>16393 Misc DM fixes</t>
  </si>
  <si>
    <t>PBBT-13699-Mmortgage User Profile</t>
  </si>
  <si>
    <t>PBBT-16302 - RESL MOD Shift left MVP2 &amp; Remediation</t>
  </si>
  <si>
    <t>RESL MOD Shift left MVP2 &amp; Remediation</t>
  </si>
  <si>
    <t>PBBT-16743 Update LCMS close case artifact</t>
  </si>
  <si>
    <t>PBBT-22270 - Savvyy Decommission</t>
  </si>
  <si>
    <t>PBBT-22604: Credit &amp; Non-Credit Rule Testing</t>
  </si>
  <si>
    <t>PBBT-22883 Ministerial Loan Guarantees Creditor Insurance</t>
  </si>
  <si>
    <t>PBBT-23212 Hopper1 PCR472</t>
  </si>
  <si>
    <t>PBBT23212_Hopper1 PCR472</t>
  </si>
  <si>
    <t>PBPT 3802:  Form Update - Form #UDDISAE-2022/10</t>
  </si>
  <si>
    <t>PBPT-16298 - Migrate historical documents from FileNet to ECM</t>
  </si>
  <si>
    <t>PBPT2800 CA Foundation - IDP MVP2 Business UAT_August Release</t>
  </si>
  <si>
    <t>PBPT2800 CA Foundation - IDP MVP2</t>
  </si>
  <si>
    <t>PBPTINTK-23150 SAS Code forClass Loan Calculator</t>
  </si>
  <si>
    <t>PBPTINTK-3082 OSFI Hopper Optimization – CCB_QFA and Rental Offset - September Release</t>
  </si>
  <si>
    <t>PBPTINTK-3504 - TAD infra Upgrade</t>
  </si>
  <si>
    <t>PBPTINTK-4138 TU Vulnerability Index</t>
  </si>
  <si>
    <t>PBPTINTK-4193 - HPP Client Document Pkg - Client Signature on PLC</t>
  </si>
  <si>
    <t>PBPTINTK-4337 - Blended Term on Client Packages and Approval Letters</t>
  </si>
  <si>
    <t>PBPTINTK-4356 - CB  Enhancements: Add Telco Trades &amp; IDX Score</t>
  </si>
  <si>
    <t>PBPTINTK-4409 - DM Relationships 4,5,6,7 to be Excluded from Auto-Approval</t>
  </si>
  <si>
    <t>PBPTINTK4408 CIBC Chattel Loan Transition</t>
  </si>
  <si>
    <t>dmallick</t>
  </si>
  <si>
    <t>Yellow Trending Green</t>
  </si>
  <si>
    <t>PBBT-16361 - LFA - One time limit decrease on Secured Personal Lines of Credit</t>
  </si>
  <si>
    <t>PBBT-16504 Disable TXM Task</t>
  </si>
  <si>
    <t>sahoopri</t>
  </si>
  <si>
    <t>EXECUTION_DATE</t>
  </si>
  <si>
    <t>Grand Total</t>
  </si>
  <si>
    <t>DATE</t>
  </si>
  <si>
    <t>Total Open Defect</t>
  </si>
  <si>
    <t>New Defect</t>
  </si>
  <si>
    <t>Closed Defect</t>
  </si>
  <si>
    <t>Row Labels</t>
  </si>
  <si>
    <t>Sum of Total Open Defect</t>
  </si>
  <si>
    <t>Sum of Closed Defect</t>
  </si>
  <si>
    <t>Sum of New Defect</t>
  </si>
  <si>
    <t>DAYS</t>
  </si>
  <si>
    <t>DEFECT_COUNT</t>
  </si>
  <si>
    <t>1 to 2</t>
  </si>
  <si>
    <t>3 to 5</t>
  </si>
  <si>
    <t>6 to 10</t>
  </si>
  <si>
    <t>more than 10</t>
  </si>
  <si>
    <t>Sum of DEFECT_COUNT</t>
  </si>
  <si>
    <t xml:space="preserve"> Application</t>
  </si>
  <si>
    <t>Closed Defects</t>
  </si>
  <si>
    <t>Newly Opened Today</t>
  </si>
  <si>
    <t>Total Defect</t>
  </si>
  <si>
    <t>TOTAL From All teams</t>
  </si>
  <si>
    <t>Sum of Closed Defects</t>
  </si>
  <si>
    <t>Sum of Newly Opened Today</t>
  </si>
  <si>
    <t>tiwarir</t>
  </si>
  <si>
    <t>patilgau</t>
  </si>
  <si>
    <t>jaspalsi</t>
  </si>
  <si>
    <t>lokesha</t>
  </si>
  <si>
    <t>sinhanis</t>
  </si>
  <si>
    <t>bodara</t>
  </si>
  <si>
    <t>chede</t>
  </si>
  <si>
    <t>waghe</t>
  </si>
  <si>
    <t>raide</t>
  </si>
  <si>
    <t>rpothal</t>
  </si>
  <si>
    <t>chavansn</t>
  </si>
  <si>
    <t>sharmnis</t>
  </si>
  <si>
    <t>vhanmane</t>
  </si>
  <si>
    <t>patimadh</t>
  </si>
  <si>
    <t>pawarad</t>
  </si>
  <si>
    <t>pshukla</t>
  </si>
  <si>
    <t>desu</t>
  </si>
  <si>
    <t>sehgalga</t>
  </si>
  <si>
    <t>gaware</t>
  </si>
  <si>
    <t>dasgupti</t>
  </si>
  <si>
    <t>sainiman</t>
  </si>
  <si>
    <t>hcautomation</t>
  </si>
  <si>
    <t>fbmarty</t>
  </si>
  <si>
    <t>pandeyt</t>
  </si>
  <si>
    <t>vermshub</t>
  </si>
  <si>
    <t>pharshbh</t>
  </si>
  <si>
    <t>jsingh1</t>
  </si>
  <si>
    <t>kalaisek</t>
  </si>
  <si>
    <t>selvaniv</t>
  </si>
  <si>
    <t>dassur</t>
  </si>
  <si>
    <t>kerry.oleary</t>
  </si>
  <si>
    <t>singhchi</t>
  </si>
  <si>
    <t>mohantde</t>
  </si>
  <si>
    <t>kaleelah</t>
  </si>
  <si>
    <t>dashmani</t>
  </si>
  <si>
    <t>abhipa</t>
  </si>
  <si>
    <t>rodge</t>
  </si>
  <si>
    <t>prabhua</t>
  </si>
  <si>
    <t>maddiral</t>
  </si>
  <si>
    <t>sirikant</t>
  </si>
  <si>
    <t>mohantyt</t>
  </si>
  <si>
    <t>vachhani</t>
  </si>
  <si>
    <t>khanba</t>
  </si>
  <si>
    <t>prakashr</t>
  </si>
  <si>
    <t>mandala</t>
  </si>
  <si>
    <t>lenkasi</t>
  </si>
  <si>
    <t>nigamv</t>
  </si>
  <si>
    <t>dassac</t>
  </si>
  <si>
    <t>dasaish</t>
  </si>
  <si>
    <t>patramr</t>
  </si>
  <si>
    <t>c.codrescu</t>
  </si>
  <si>
    <t>nandaab</t>
  </si>
  <si>
    <t>srailkar</t>
  </si>
  <si>
    <t>ghone</t>
  </si>
  <si>
    <t>maharana</t>
  </si>
  <si>
    <t>balajias</t>
  </si>
  <si>
    <t>agarwnit</t>
  </si>
  <si>
    <t>sonavane</t>
  </si>
  <si>
    <t>nguyanht</t>
  </si>
  <si>
    <t>donthala</t>
  </si>
  <si>
    <t>mallickt</t>
  </si>
  <si>
    <t>vrsjhali</t>
  </si>
  <si>
    <t>oxu</t>
  </si>
  <si>
    <t>shindea</t>
  </si>
  <si>
    <t>devastha</t>
  </si>
  <si>
    <t>bhuyansu</t>
  </si>
  <si>
    <t>sykam</t>
  </si>
  <si>
    <t>jyotia</t>
  </si>
  <si>
    <t>vadariya</t>
  </si>
  <si>
    <t>chaturay</t>
  </si>
  <si>
    <t>srivastk</t>
  </si>
  <si>
    <t>nayakab</t>
  </si>
  <si>
    <t>subrsua</t>
  </si>
  <si>
    <t>mjadhav</t>
  </si>
  <si>
    <t>sinharu</t>
  </si>
  <si>
    <t>jmclaughlan</t>
  </si>
  <si>
    <t>dixitr</t>
  </si>
  <si>
    <t>kaurjag</t>
  </si>
  <si>
    <t>muralida</t>
  </si>
  <si>
    <t>mukhtar</t>
  </si>
  <si>
    <t>ajanardhan</t>
  </si>
  <si>
    <t>devo</t>
  </si>
  <si>
    <t>parthibs</t>
  </si>
  <si>
    <t>ganapasr</t>
  </si>
  <si>
    <t>nmaletati</t>
  </si>
  <si>
    <t>chauhaaj</t>
  </si>
  <si>
    <t>priyankp</t>
  </si>
  <si>
    <t>sharmmah</t>
  </si>
  <si>
    <t>khadivi</t>
  </si>
  <si>
    <t>patilsam</t>
  </si>
  <si>
    <t>patilrav</t>
  </si>
  <si>
    <t>thandaps</t>
  </si>
  <si>
    <t>parjane</t>
  </si>
  <si>
    <t>pawar</t>
  </si>
  <si>
    <t>vermap</t>
  </si>
  <si>
    <t>thirugnv</t>
  </si>
  <si>
    <t>ghosalks</t>
  </si>
  <si>
    <t>kolhatka</t>
  </si>
  <si>
    <t>sankarm</t>
  </si>
  <si>
    <t>swainra</t>
  </si>
  <si>
    <t>durdu</t>
  </si>
  <si>
    <t>patelhel</t>
  </si>
  <si>
    <t>jilla</t>
  </si>
  <si>
    <t>gnanasut</t>
  </si>
  <si>
    <t>mahapaba</t>
  </si>
  <si>
    <t>jairmod</t>
  </si>
  <si>
    <t>jainhar</t>
  </si>
  <si>
    <t>trinityf</t>
  </si>
  <si>
    <t>chandras</t>
  </si>
  <si>
    <t>vartak</t>
  </si>
  <si>
    <t>ragala</t>
  </si>
  <si>
    <t>sharsaum</t>
  </si>
  <si>
    <t>shewale</t>
  </si>
  <si>
    <t>raneab</t>
  </si>
  <si>
    <t>mody</t>
  </si>
  <si>
    <t>nairv</t>
  </si>
  <si>
    <t>pittalan</t>
  </si>
  <si>
    <t>tibrewal</t>
  </si>
  <si>
    <t>bandv</t>
  </si>
  <si>
    <t>CLASS</t>
  </si>
  <si>
    <t>LCMS</t>
  </si>
  <si>
    <t>ponnusak</t>
  </si>
  <si>
    <t>komati</t>
  </si>
  <si>
    <t>shirode</t>
  </si>
  <si>
    <t>farooquo</t>
  </si>
  <si>
    <t>PBBT-23317 - LCMS Routing - Phase 2</t>
  </si>
  <si>
    <t>PBBT-23406Upgrade DDGS Smart Comm Appliance</t>
  </si>
  <si>
    <t>"PBBT-23406Upgrade DDGS Smart Comm Appliance"</t>
  </si>
  <si>
    <t>PLANNED_TC</t>
  </si>
  <si>
    <t>PENDING_TC</t>
  </si>
  <si>
    <t>kulkarnn</t>
  </si>
  <si>
    <t>mahana</t>
  </si>
  <si>
    <t>kumaradh</t>
  </si>
  <si>
    <t>SIT Cycle 1</t>
  </si>
  <si>
    <t>SIT Cycle 2</t>
  </si>
  <si>
    <t>UAT Cycle 1</t>
  </si>
  <si>
    <t>UAT Cycle 2</t>
  </si>
  <si>
    <t>CRM</t>
  </si>
  <si>
    <t>Decision Manager</t>
  </si>
  <si>
    <t>ECM</t>
  </si>
  <si>
    <t>Envoy</t>
  </si>
  <si>
    <t>mMortgage</t>
  </si>
  <si>
    <t>8-Apr</t>
  </si>
  <si>
    <t>9-Apr</t>
  </si>
  <si>
    <t>10-Apr</t>
  </si>
  <si>
    <t>11-Apr</t>
  </si>
  <si>
    <t>14-Apr</t>
  </si>
  <si>
    <t>16-Apr</t>
  </si>
  <si>
    <t>17-Apr</t>
  </si>
  <si>
    <t>18-Apr</t>
  </si>
  <si>
    <t>21-Apr</t>
  </si>
  <si>
    <t>22-Apr</t>
  </si>
  <si>
    <t>23-Apr</t>
  </si>
  <si>
    <t>24-Apr</t>
  </si>
  <si>
    <t>25-Apr</t>
  </si>
  <si>
    <t>28-Apr</t>
  </si>
  <si>
    <t>29-Apr</t>
  </si>
  <si>
    <t>30-Apr</t>
  </si>
  <si>
    <t>2-May</t>
  </si>
  <si>
    <t>5-May</t>
  </si>
  <si>
    <t>6-May</t>
  </si>
  <si>
    <t>7-May</t>
  </si>
  <si>
    <t>8-May</t>
  </si>
  <si>
    <t>12-May</t>
  </si>
  <si>
    <t>13-May</t>
  </si>
  <si>
    <t>14-May</t>
  </si>
  <si>
    <t>15-May</t>
  </si>
  <si>
    <t>16-May</t>
  </si>
  <si>
    <t>19-May</t>
  </si>
  <si>
    <t>20-May</t>
  </si>
  <si>
    <t>21-May</t>
  </si>
  <si>
    <t>22-May</t>
  </si>
  <si>
    <t>23-May</t>
  </si>
  <si>
    <t>26-May</t>
  </si>
  <si>
    <t>27-May</t>
  </si>
  <si>
    <t>28-May</t>
  </si>
  <si>
    <t>29-May</t>
  </si>
  <si>
    <t>2-Jun</t>
  </si>
  <si>
    <t>3-Jun</t>
  </si>
  <si>
    <t>5-Jun</t>
  </si>
  <si>
    <t>11-Jun</t>
  </si>
  <si>
    <t>12-Jun</t>
  </si>
  <si>
    <t>13-Jun</t>
  </si>
  <si>
    <t>16-Jun</t>
  </si>
  <si>
    <t>17-Jun</t>
  </si>
  <si>
    <t>19-Jun</t>
  </si>
  <si>
    <t>23-Jun</t>
  </si>
  <si>
    <t>25-Jun</t>
  </si>
  <si>
    <t>27-Jun</t>
  </si>
  <si>
    <t>30-Jun</t>
  </si>
  <si>
    <t>3-Jul</t>
  </si>
  <si>
    <t>4-Jul</t>
  </si>
  <si>
    <t>7-Jul</t>
  </si>
  <si>
    <t>8-Jul</t>
  </si>
  <si>
    <t>9-Jul</t>
  </si>
  <si>
    <t>18-Jul</t>
  </si>
  <si>
    <t>&lt;4/8/2025</t>
  </si>
  <si>
    <t>Sum of PENDING_TC</t>
  </si>
  <si>
    <t>Sum of PLANNED_TC</t>
  </si>
  <si>
    <t>9-May</t>
  </si>
  <si>
    <t>30-May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</si>
</sst>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6" x14ac:knownFonts="1">
    <font>
      <sz val="10"/>
      <color theme="1"/>
      <name val="Trebuchet MS"/>
      <family val="2"/>
    </font>
    <font>
      <sz val="10"/>
      <name val="Arial"/>
      <family val="2"/>
    </font>
    <font>
      <sz val="11"/>
      <color theme="1"/>
      <name val="Calibri"/>
      <family val="2"/>
      <scheme val="minor"/>
    </font>
    <font>
      <b/>
      <sz val="10"/>
      <color theme="1"/>
      <name val="Trebuchet MS"/>
      <family val="2"/>
    </font>
    <font>
      <b/>
      <sz val="72"/>
      <color rgb="FF000000"/>
      <name val="Trebuchet MS"/>
      <family val="2"/>
    </font>
    <font>
      <b/>
      <sz val="7.75"/>
      <color theme="1"/>
      <name val="Trebuchet MS"/>
      <family val="2"/>
    </font>
    <font>
      <sz val="7.75"/>
      <color theme="1"/>
      <name val="Trebuchet MS"/>
      <family val="2"/>
    </font>
    <font>
      <b/>
      <sz val="7.75"/>
      <name val="Trebuchet MS"/>
      <family val="2"/>
    </font>
    <font>
      <sz val="7.75"/>
      <name val="Trebuchet MS"/>
      <family val="2"/>
    </font>
    <font>
      <i/>
      <sz val="7.75"/>
      <color theme="1"/>
      <name val="Trebuchet MS"/>
      <family val="2"/>
    </font>
    <font>
      <b/>
      <sz val="7.75"/>
      <color indexed="8"/>
      <name val="Trebuchet MS"/>
      <family val="2"/>
    </font>
    <font>
      <b/>
      <sz val="7.75"/>
      <color theme="0"/>
      <name val="Trebuchet MS"/>
      <family val="2"/>
    </font>
    <font>
      <b/>
      <sz val="7.75"/>
      <color indexed="8"/>
      <name val="Calibri"/>
      <family val="2"/>
    </font>
    <font>
      <sz val="7.75"/>
      <color indexed="8"/>
      <name val="Calibri"/>
      <family val="2"/>
    </font>
    <font>
      <b/>
      <sz val="7.5"/>
      <color theme="1"/>
      <name val="Trebuchet MS"/>
      <family val="2"/>
    </font>
    <font>
      <sz val="10"/>
      <color rgb="FF000000"/>
      <name val="Trebuchet MS"/>
      <family val="2"/>
    </font>
  </fonts>
  <fills count="12">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3" tint="0.79998168889431442"/>
        <bgColor indexed="64"/>
      </patternFill>
    </fill>
    <fill>
      <patternFill patternType="solid">
        <fgColor rgb="FFC00000"/>
        <bgColor indexed="64"/>
      </patternFill>
    </fill>
    <fill>
      <patternFill patternType="solid">
        <fgColor theme="0" tint="-4.9989318521683403E-2"/>
        <bgColor indexed="64"/>
      </patternFill>
    </fill>
    <fill>
      <patternFill patternType="darkDown">
        <bgColor theme="0"/>
      </patternFill>
    </fill>
    <fill>
      <patternFill patternType="solid">
        <fgColor theme="9"/>
        <bgColor indexed="64"/>
      </patternFill>
    </fill>
    <fill>
      <patternFill patternType="solid">
        <fgColor rgb="FFFFFF00"/>
        <bgColor indexed="64"/>
      </patternFill>
    </fill>
    <fill>
      <patternFill patternType="solid">
        <fgColor theme="8" tint="0.79998168889431442"/>
        <bgColor indexed="64"/>
      </patternFill>
    </fill>
    <fill>
      <patternFill patternType="darkUp">
        <bgColor theme="0"/>
      </patternFill>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2" tint="-9.9978637043366805E-2"/>
      </top>
      <bottom style="thin">
        <color theme="2" tint="-9.9978637043366805E-2"/>
      </bottom>
      <diagonal/>
    </border>
    <border>
      <left style="thin">
        <color theme="1"/>
      </left>
      <right style="thin">
        <color theme="1"/>
      </right>
      <top style="thin">
        <color theme="2" tint="-9.9978637043366805E-2"/>
      </top>
      <bottom style="thin">
        <color theme="2" tint="-9.9978637043366805E-2"/>
      </bottom>
      <diagonal/>
    </border>
    <border>
      <left/>
      <right/>
      <top style="thin">
        <color theme="2" tint="-9.9978637043366805E-2"/>
      </top>
      <bottom style="thin">
        <color theme="2" tint="-9.9978637043366805E-2"/>
      </bottom>
      <diagonal/>
    </border>
    <border>
      <left/>
      <right style="thin">
        <color theme="1"/>
      </right>
      <top style="thin">
        <color theme="2" tint="-9.9978637043366805E-2"/>
      </top>
      <bottom style="thin">
        <color theme="2" tint="-9.9978637043366805E-2"/>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theme="1"/>
      </left>
      <right style="thin">
        <color theme="1"/>
      </right>
      <top style="thin">
        <color indexed="64"/>
      </top>
      <bottom style="thin">
        <color theme="1"/>
      </bottom>
      <diagonal/>
    </border>
    <border>
      <left style="thin">
        <color theme="1"/>
      </left>
      <right style="thin">
        <color theme="1"/>
      </right>
      <top/>
      <bottom style="thin">
        <color indexed="64"/>
      </bottom>
      <diagonal/>
    </border>
    <border>
      <left style="thin">
        <color theme="1"/>
      </left>
      <right/>
      <top/>
      <bottom style="thin">
        <color theme="2" tint="-9.9978637043366805E-2"/>
      </bottom>
      <diagonal/>
    </border>
    <border>
      <left style="thin">
        <color theme="1"/>
      </left>
      <right style="thin">
        <color theme="1"/>
      </right>
      <top/>
      <bottom style="thin">
        <color theme="2" tint="-9.9978637043366805E-2"/>
      </bottom>
      <diagonal/>
    </border>
    <border>
      <left/>
      <right/>
      <top/>
      <bottom style="thin">
        <color theme="2" tint="-9.9978637043366805E-2"/>
      </bottom>
      <diagonal/>
    </border>
    <border>
      <left/>
      <right style="thin">
        <color theme="1"/>
      </right>
      <top/>
      <bottom style="thin">
        <color theme="2" tint="-9.9978637043366805E-2"/>
      </bottom>
      <diagonal/>
    </border>
    <border>
      <left/>
      <right/>
      <top style="thin">
        <color theme="1"/>
      </top>
      <bottom style="thin">
        <color theme="1"/>
      </bottom>
      <diagonal/>
    </border>
    <border>
      <left style="thin">
        <color theme="1"/>
      </left>
      <right style="thin">
        <color theme="1"/>
      </right>
      <top style="thin">
        <color theme="2" tint="-9.9978637043366805E-2"/>
      </top>
      <bottom/>
      <diagonal/>
    </border>
    <border>
      <left/>
      <right style="thin">
        <color theme="1"/>
      </right>
      <top style="thin">
        <color theme="2" tint="-9.9978637043366805E-2"/>
      </top>
      <bottom/>
      <diagonal/>
    </border>
  </borders>
  <cellStyleXfs count="6">
    <xf numFmtId="0" fontId="0" fillId="0" borderId="0"/>
    <xf numFmtId="0" fontId="1" fillId="0" borderId="0"/>
    <xf numFmtId="0" fontId="1" fillId="0" borderId="0"/>
    <xf numFmtId="0" fontId="1" fillId="0" borderId="0"/>
    <xf numFmtId="0" fontId="2" fillId="0" borderId="0"/>
    <xf numFmtId="9" fontId="2" fillId="0" borderId="0" applyFont="0" applyFill="0" applyBorder="0" applyAlignment="0" applyProtection="0"/>
  </cellStyleXfs>
  <cellXfs count="186">
    <xf numFmtId="0" fontId="0" fillId="0" borderId="0" xfId="0"/>
    <xf numFmtId="0" fontId="0" fillId="2" borderId="0" xfId="0" applyFill="1" applyProtection="1">
      <protection locked="0"/>
    </xf>
    <xf numFmtId="22" fontId="0" fillId="0" borderId="0" xfId="0" applyNumberFormat="1"/>
    <xf numFmtId="14" fontId="0" fillId="0" borderId="0" xfId="0" applyNumberFormat="1"/>
    <xf numFmtId="0" fontId="0" fillId="0" borderId="0" xfId="0" applyAlignment="1">
      <alignment horizontal="right"/>
    </xf>
    <xf numFmtId="0" fontId="3" fillId="0" borderId="0" xfId="0" applyFont="1"/>
    <xf numFmtId="0" fontId="3" fillId="0" borderId="0" xfId="0" applyFont="1" applyAlignment="1">
      <alignment horizontal="right"/>
    </xf>
    <xf numFmtId="0" fontId="0" fillId="8" borderId="0" xfId="0" applyFill="1"/>
    <xf numFmtId="0" fontId="0" fillId="9" borderId="0" xfId="0" applyFill="1"/>
    <xf numFmtId="0" fontId="0" fillId="8" borderId="0" xfId="0" applyFill="1" applyAlignment="1">
      <alignment horizontal="right"/>
    </xf>
    <xf numFmtId="0" fontId="0" fillId="9" borderId="0" xfId="0" applyFill="1" applyAlignment="1">
      <alignment horizontal="right"/>
    </xf>
    <xf numFmtId="0" fontId="0" fillId="2" borderId="5" xfId="0" applyFill="1" applyBorder="1" applyProtection="1">
      <protection locked="0"/>
    </xf>
    <xf numFmtId="0" fontId="3" fillId="2" borderId="5" xfId="0" applyFont="1" applyFill="1" applyBorder="1" applyProtection="1">
      <protection locked="0"/>
    </xf>
    <xf numFmtId="0" fontId="5" fillId="0" borderId="0" xfId="4" applyFont="1"/>
    <xf numFmtId="0" fontId="6" fillId="0" borderId="0" xfId="4" applyFont="1"/>
    <xf numFmtId="0" fontId="6" fillId="2" borderId="0" xfId="4" applyFont="1" applyFill="1"/>
    <xf numFmtId="0" fontId="6" fillId="2" borderId="4" xfId="4" applyFont="1" applyFill="1" applyBorder="1"/>
    <xf numFmtId="0" fontId="8" fillId="2" borderId="6" xfId="4" applyFont="1" applyFill="1" applyBorder="1"/>
    <xf numFmtId="0" fontId="8" fillId="2" borderId="0" xfId="4" applyFont="1" applyFill="1"/>
    <xf numFmtId="0" fontId="6" fillId="2" borderId="7" xfId="4" applyFont="1" applyFill="1" applyBorder="1"/>
    <xf numFmtId="0" fontId="6" fillId="0" borderId="0" xfId="4" applyFont="1" applyAlignment="1">
      <alignment vertical="center"/>
    </xf>
    <xf numFmtId="0" fontId="5" fillId="10" borderId="5" xfId="4" applyFont="1" applyFill="1" applyBorder="1"/>
    <xf numFmtId="0" fontId="5" fillId="2" borderId="0" xfId="4" applyFont="1" applyFill="1"/>
    <xf numFmtId="0" fontId="5" fillId="2" borderId="4" xfId="4" applyFont="1" applyFill="1" applyBorder="1"/>
    <xf numFmtId="0" fontId="5" fillId="10" borderId="5" xfId="4" applyFont="1" applyFill="1" applyBorder="1" applyAlignment="1">
      <alignment vertical="top"/>
    </xf>
    <xf numFmtId="0" fontId="6" fillId="2" borderId="6" xfId="4" applyFont="1" applyFill="1" applyBorder="1"/>
    <xf numFmtId="0" fontId="6" fillId="4" borderId="5" xfId="4" applyFont="1" applyFill="1" applyBorder="1" applyAlignment="1">
      <alignment horizontal="center"/>
    </xf>
    <xf numFmtId="0" fontId="6" fillId="10" borderId="5" xfId="4" applyFont="1" applyFill="1" applyBorder="1" applyAlignment="1">
      <alignment horizontal="center"/>
    </xf>
    <xf numFmtId="0" fontId="6" fillId="0" borderId="5" xfId="4" applyFont="1" applyBorder="1"/>
    <xf numFmtId="15" fontId="6" fillId="0" borderId="5" xfId="4" applyNumberFormat="1" applyFont="1" applyBorder="1"/>
    <xf numFmtId="0" fontId="6" fillId="10" borderId="5" xfId="4" applyFont="1" applyFill="1" applyBorder="1"/>
    <xf numFmtId="15" fontId="6" fillId="2" borderId="5" xfId="4" applyNumberFormat="1" applyFont="1" applyFill="1" applyBorder="1"/>
    <xf numFmtId="0" fontId="6" fillId="2" borderId="5" xfId="4" applyFont="1" applyFill="1" applyBorder="1" applyAlignment="1">
      <alignment horizontal="center" vertical="center"/>
    </xf>
    <xf numFmtId="0" fontId="5" fillId="4" borderId="2" xfId="4" applyFont="1" applyFill="1" applyBorder="1" applyAlignment="1">
      <alignment horizontal="center" vertical="center" wrapText="1"/>
    </xf>
    <xf numFmtId="0" fontId="5" fillId="4" borderId="5" xfId="4" applyFont="1" applyFill="1" applyBorder="1" applyAlignment="1">
      <alignment horizontal="center" vertical="center"/>
    </xf>
    <xf numFmtId="0" fontId="6" fillId="2" borderId="5" xfId="4" applyFont="1" applyFill="1" applyBorder="1" applyAlignment="1">
      <alignment horizontal="center"/>
    </xf>
    <xf numFmtId="0" fontId="6" fillId="2" borderId="1" xfId="4" applyFont="1" applyFill="1" applyBorder="1" applyAlignment="1">
      <alignment horizontal="center"/>
    </xf>
    <xf numFmtId="9" fontId="6" fillId="0" borderId="5" xfId="5" applyFont="1" applyFill="1" applyBorder="1" applyAlignment="1">
      <alignment horizontal="center"/>
    </xf>
    <xf numFmtId="0" fontId="6" fillId="2" borderId="0" xfId="4" applyFont="1" applyFill="1" applyAlignment="1">
      <alignment horizontal="center"/>
    </xf>
    <xf numFmtId="0" fontId="5" fillId="4" borderId="5" xfId="4" applyFont="1" applyFill="1" applyBorder="1" applyAlignment="1">
      <alignment horizontal="center" vertical="center" wrapText="1"/>
    </xf>
    <xf numFmtId="9" fontId="6" fillId="11" borderId="5" xfId="5" applyFont="1" applyFill="1" applyBorder="1" applyAlignment="1">
      <alignment horizontal="center"/>
    </xf>
    <xf numFmtId="9" fontId="6" fillId="2" borderId="5" xfId="5" applyFont="1" applyFill="1" applyBorder="1" applyAlignment="1">
      <alignment horizontal="center"/>
    </xf>
    <xf numFmtId="9" fontId="6" fillId="4" borderId="5" xfId="5" applyFont="1" applyFill="1" applyBorder="1" applyAlignment="1">
      <alignment horizontal="center"/>
    </xf>
    <xf numFmtId="0" fontId="5" fillId="4" borderId="7" xfId="4" applyFont="1" applyFill="1" applyBorder="1" applyAlignment="1">
      <alignment horizontal="left" wrapText="1"/>
    </xf>
    <xf numFmtId="0" fontId="5" fillId="4" borderId="7" xfId="4" applyFont="1" applyFill="1" applyBorder="1" applyAlignment="1">
      <alignment horizontal="center" wrapText="1"/>
    </xf>
    <xf numFmtId="0" fontId="6" fillId="2" borderId="5" xfId="0" applyFont="1" applyFill="1" applyBorder="1" applyAlignment="1">
      <alignment horizontal="left"/>
    </xf>
    <xf numFmtId="0" fontId="6" fillId="2" borderId="5" xfId="4" applyFont="1" applyFill="1" applyBorder="1"/>
    <xf numFmtId="0" fontId="5" fillId="2" borderId="6" xfId="4" applyFont="1" applyFill="1" applyBorder="1"/>
    <xf numFmtId="0" fontId="5" fillId="6" borderId="7" xfId="4" applyFont="1" applyFill="1" applyBorder="1" applyAlignment="1">
      <alignment horizontal="center" wrapText="1"/>
    </xf>
    <xf numFmtId="0" fontId="6" fillId="0" borderId="5" xfId="4" applyFont="1" applyBorder="1" applyAlignment="1">
      <alignment horizontal="center"/>
    </xf>
    <xf numFmtId="0" fontId="6" fillId="7" borderId="5" xfId="4" applyFont="1" applyFill="1" applyBorder="1" applyAlignment="1">
      <alignment horizontal="center"/>
    </xf>
    <xf numFmtId="0" fontId="6" fillId="0" borderId="0" xfId="4" applyFont="1" applyAlignment="1">
      <alignment horizontal="center"/>
    </xf>
    <xf numFmtId="0" fontId="6" fillId="2" borderId="6" xfId="4" applyFont="1" applyFill="1" applyBorder="1" applyAlignment="1">
      <alignment horizontal="left"/>
    </xf>
    <xf numFmtId="0" fontId="6" fillId="2" borderId="0" xfId="4" applyFont="1" applyFill="1" applyAlignment="1">
      <alignment horizontal="left"/>
    </xf>
    <xf numFmtId="0" fontId="12" fillId="4" borderId="5" xfId="4" applyFont="1" applyFill="1" applyBorder="1" applyAlignment="1">
      <alignment vertical="center" wrapText="1"/>
    </xf>
    <xf numFmtId="0" fontId="12" fillId="0" borderId="5" xfId="4" applyFont="1" applyBorder="1" applyAlignment="1">
      <alignment vertical="center" wrapText="1"/>
    </xf>
    <xf numFmtId="0" fontId="13" fillId="0" borderId="5" xfId="4" applyFont="1" applyBorder="1" applyAlignment="1">
      <alignment horizontal="center" vertical="center"/>
    </xf>
    <xf numFmtId="0" fontId="12" fillId="4" borderId="5" xfId="4" applyFont="1" applyFill="1" applyBorder="1" applyAlignment="1">
      <alignment horizontal="center" vertical="center"/>
    </xf>
    <xf numFmtId="0" fontId="9" fillId="2" borderId="0" xfId="4" applyFont="1" applyFill="1"/>
    <xf numFmtId="0" fontId="9" fillId="2" borderId="6" xfId="4" applyFont="1" applyFill="1" applyBorder="1"/>
    <xf numFmtId="0" fontId="6" fillId="2" borderId="11" xfId="4" applyFont="1" applyFill="1" applyBorder="1"/>
    <xf numFmtId="0" fontId="6" fillId="2" borderId="12" xfId="4" applyFont="1" applyFill="1" applyBorder="1"/>
    <xf numFmtId="0" fontId="5" fillId="2" borderId="12" xfId="4" applyFont="1" applyFill="1" applyBorder="1"/>
    <xf numFmtId="0" fontId="6" fillId="2" borderId="13" xfId="4" applyFont="1" applyFill="1" applyBorder="1"/>
    <xf numFmtId="0" fontId="6" fillId="4" borderId="5" xfId="0" applyFont="1" applyFill="1" applyBorder="1" applyAlignment="1">
      <alignment horizontal="left"/>
    </xf>
    <xf numFmtId="0" fontId="6" fillId="4" borderId="5" xfId="4" applyFont="1" applyFill="1" applyBorder="1"/>
    <xf numFmtId="0" fontId="14" fillId="4" borderId="5" xfId="4" applyFont="1" applyFill="1" applyBorder="1" applyAlignment="1">
      <alignment horizontal="center"/>
    </xf>
    <xf numFmtId="0" fontId="5" fillId="4" borderId="5" xfId="4" applyFont="1" applyFill="1" applyBorder="1" applyAlignment="1">
      <alignment horizontal="center"/>
    </xf>
    <xf numFmtId="0" fontId="6" fillId="2" borderId="0" xfId="4" applyFont="1" applyFill="1" applyAlignment="1">
      <alignment horizontal="left" vertical="top"/>
    </xf>
    <xf numFmtId="0" fontId="0" fillId="10" borderId="0" xfId="0" applyFill="1"/>
    <xf numFmtId="164" fontId="6" fillId="0" borderId="5" xfId="4" applyNumberFormat="1" applyFont="1" applyBorder="1"/>
    <xf numFmtId="164" fontId="6" fillId="0" borderId="0" xfId="4" applyNumberFormat="1" applyFont="1"/>
    <xf numFmtId="0" fontId="8" fillId="2" borderId="1" xfId="4" applyFont="1" applyFill="1" applyBorder="1" applyAlignment="1">
      <alignment horizontal="left"/>
    </xf>
    <xf numFmtId="0" fontId="8" fillId="2" borderId="3" xfId="4" applyFont="1" applyFill="1" applyBorder="1" applyAlignment="1">
      <alignment horizontal="left"/>
    </xf>
    <xf numFmtId="14" fontId="0" fillId="4" borderId="7" xfId="0" applyNumberFormat="1" applyFill="1" applyBorder="1"/>
    <xf numFmtId="14" fontId="0" fillId="4" borderId="14" xfId="0" applyNumberFormat="1" applyFill="1" applyBorder="1"/>
    <xf numFmtId="14" fontId="0" fillId="4" borderId="5" xfId="0" applyNumberFormat="1" applyFill="1" applyBorder="1"/>
    <xf numFmtId="0" fontId="0" fillId="4" borderId="5" xfId="0" applyFill="1" applyBorder="1"/>
    <xf numFmtId="0" fontId="0" fillId="2" borderId="10" xfId="0" applyFill="1" applyBorder="1"/>
    <xf numFmtId="14" fontId="0" fillId="2" borderId="10" xfId="0" applyNumberFormat="1" applyFill="1" applyBorder="1"/>
    <xf numFmtId="14" fontId="0" fillId="2" borderId="3" xfId="0" applyNumberFormat="1" applyFill="1" applyBorder="1"/>
    <xf numFmtId="0" fontId="0" fillId="2" borderId="13" xfId="0" applyFill="1" applyBorder="1"/>
    <xf numFmtId="0" fontId="0" fillId="2" borderId="5" xfId="0" applyFill="1" applyBorder="1"/>
    <xf numFmtId="14" fontId="0" fillId="4" borderId="16" xfId="0" applyNumberFormat="1" applyFill="1" applyBorder="1"/>
    <xf numFmtId="0" fontId="0" fillId="10" borderId="17" xfId="0" applyFill="1" applyBorder="1"/>
    <xf numFmtId="0" fontId="0" fillId="10" borderId="18" xfId="0" applyFill="1" applyBorder="1"/>
    <xf numFmtId="0" fontId="0" fillId="2" borderId="19" xfId="0" applyFill="1" applyBorder="1"/>
    <xf numFmtId="0" fontId="0" fillId="2" borderId="17" xfId="0" applyFill="1" applyBorder="1"/>
    <xf numFmtId="0" fontId="0" fillId="3" borderId="15" xfId="0" applyFill="1" applyBorder="1"/>
    <xf numFmtId="0" fontId="13" fillId="3" borderId="24" xfId="4" applyFont="1" applyFill="1" applyBorder="1" applyAlignment="1">
      <alignment horizontal="center" vertical="center"/>
    </xf>
    <xf numFmtId="0" fontId="13" fillId="3" borderId="22" xfId="4" applyFont="1" applyFill="1" applyBorder="1" applyAlignment="1">
      <alignment horizontal="center" vertical="center"/>
    </xf>
    <xf numFmtId="0" fontId="13" fillId="3" borderId="23" xfId="4" applyFont="1" applyFill="1" applyBorder="1" applyAlignment="1">
      <alignment horizontal="center" vertical="center"/>
    </xf>
    <xf numFmtId="14" fontId="0" fillId="4" borderId="25" xfId="0" applyNumberFormat="1" applyFill="1" applyBorder="1"/>
    <xf numFmtId="0" fontId="0" fillId="10" borderId="26" xfId="0" applyFill="1" applyBorder="1"/>
    <xf numFmtId="0" fontId="0" fillId="10" borderId="27" xfId="0" applyFill="1" applyBorder="1"/>
    <xf numFmtId="0" fontId="0" fillId="2" borderId="26" xfId="0" applyFill="1" applyBorder="1"/>
    <xf numFmtId="0" fontId="0" fillId="2" borderId="28" xfId="0" applyFill="1" applyBorder="1"/>
    <xf numFmtId="14" fontId="0" fillId="4" borderId="20" xfId="0" applyNumberFormat="1" applyFill="1" applyBorder="1"/>
    <xf numFmtId="0" fontId="0" fillId="10" borderId="15" xfId="0" applyFill="1" applyBorder="1"/>
    <xf numFmtId="0" fontId="0" fillId="10" borderId="29" xfId="0" applyFill="1" applyBorder="1"/>
    <xf numFmtId="0" fontId="0" fillId="4" borderId="15" xfId="0" applyFill="1" applyBorder="1"/>
    <xf numFmtId="0" fontId="0" fillId="4" borderId="21" xfId="0" applyFill="1" applyBorder="1"/>
    <xf numFmtId="0" fontId="0" fillId="2" borderId="30" xfId="0" applyFill="1" applyBorder="1"/>
    <xf numFmtId="0" fontId="0" fillId="2" borderId="31" xfId="0" applyFill="1" applyBorder="1"/>
    <xf numFmtId="0" fontId="0" fillId="3" borderId="21" xfId="0" applyFill="1" applyBorder="1"/>
    <xf numFmtId="0" fontId="12" fillId="10" borderId="28" xfId="4" applyFont="1" applyFill="1" applyBorder="1" applyAlignment="1">
      <alignment horizontal="center" vertical="center"/>
    </xf>
    <xf numFmtId="0" fontId="12" fillId="10" borderId="19" xfId="4" applyFont="1" applyFill="1" applyBorder="1" applyAlignment="1">
      <alignment horizontal="center" vertical="center"/>
    </xf>
    <xf numFmtId="0" fontId="0" fillId="3" borderId="26" xfId="0" applyFill="1" applyBorder="1"/>
    <xf numFmtId="0" fontId="0" fillId="3" borderId="17" xfId="0" applyFill="1" applyBorder="1"/>
    <xf numFmtId="0" fontId="0" fillId="2" borderId="0" xfId="0" applyFill="1"/>
    <xf numFmtId="0" fontId="6" fillId="2" borderId="1" xfId="4" applyFont="1" applyFill="1" applyBorder="1" applyAlignment="1">
      <alignment horizontal="left" vertical="top"/>
    </xf>
    <xf numFmtId="0" fontId="6" fillId="2" borderId="8" xfId="4" applyFont="1" applyFill="1" applyBorder="1" applyAlignment="1">
      <alignment horizontal="left" vertical="top" wrapText="1"/>
    </xf>
    <xf numFmtId="0" fontId="6" fillId="2" borderId="9" xfId="4" applyFont="1" applyFill="1" applyBorder="1" applyAlignment="1">
      <alignment horizontal="left" vertical="top"/>
    </xf>
    <xf numFmtId="0" fontId="6" fillId="2" borderId="8" xfId="4" applyFont="1" applyFill="1" applyBorder="1"/>
    <xf numFmtId="0" fontId="6" fillId="2" borderId="9" xfId="4" applyFont="1" applyFill="1" applyBorder="1"/>
    <xf numFmtId="0" fontId="6" fillId="2" borderId="1" xfId="4" applyFont="1" applyFill="1" applyBorder="1" applyAlignment="1">
      <alignment horizontal="left" vertical="top" wrapText="1"/>
    </xf>
    <xf numFmtId="0" fontId="6" fillId="2" borderId="9" xfId="4" applyFont="1" applyFill="1" applyBorder="1" applyAlignment="1">
      <alignment horizontal="left" vertical="top" wrapText="1"/>
    </xf>
    <xf numFmtId="1" fontId="6" fillId="0" borderId="5" xfId="4" applyNumberFormat="1" applyFont="1" applyBorder="1" applyAlignment="1">
      <alignment horizontal="center"/>
    </xf>
    <xf numFmtId="0" fontId="0" fillId="0" borderId="0" xfId="0" pivotButton="1"/>
    <xf numFmtId="0" fontId="0" fillId="0" borderId="0" xfId="0" applyAlignment="1">
      <alignment horizontal="left"/>
    </xf>
    <xf numFmtId="0" fontId="5" fillId="3" borderId="1" xfId="4" applyFont="1" applyFill="1" applyBorder="1" applyAlignment="1">
      <alignment horizontal="center"/>
    </xf>
    <xf numFmtId="0" fontId="5" fillId="3" borderId="2" xfId="4" applyFont="1" applyFill="1" applyBorder="1" applyAlignment="1">
      <alignment horizontal="center"/>
    </xf>
    <xf numFmtId="0" fontId="7" fillId="4" borderId="5" xfId="4" applyFont="1" applyFill="1" applyBorder="1" applyAlignment="1">
      <alignment horizontal="left"/>
    </xf>
    <xf numFmtId="0" fontId="8" fillId="4" borderId="5" xfId="4" applyFont="1" applyFill="1" applyBorder="1" applyAlignment="1">
      <alignment horizontal="left"/>
    </xf>
    <xf numFmtId="0" fontId="6" fillId="2" borderId="5" xfId="4" applyFont="1" applyFill="1" applyBorder="1" applyAlignment="1">
      <alignment horizontal="left"/>
    </xf>
    <xf numFmtId="0" fontId="7" fillId="10" borderId="5" xfId="4" applyFont="1" applyFill="1" applyBorder="1" applyAlignment="1">
      <alignment horizontal="left"/>
    </xf>
    <xf numFmtId="0" fontId="8" fillId="10" borderId="1" xfId="4" applyFont="1" applyFill="1" applyBorder="1" applyAlignment="1">
      <alignment horizontal="left"/>
    </xf>
    <xf numFmtId="0" fontId="8" fillId="10" borderId="3" xfId="4" applyFont="1" applyFill="1" applyBorder="1" applyAlignment="1">
      <alignment horizontal="left"/>
    </xf>
    <xf numFmtId="0" fontId="6" fillId="0" borderId="5" xfId="4" applyFont="1" applyBorder="1" applyAlignment="1">
      <alignment horizontal="left"/>
    </xf>
    <xf numFmtId="0" fontId="5" fillId="0" borderId="5" xfId="4" applyFont="1" applyBorder="1" applyAlignment="1">
      <alignment horizontal="left"/>
    </xf>
    <xf numFmtId="0" fontId="5" fillId="2" borderId="5" xfId="4" applyFont="1" applyFill="1" applyBorder="1" applyAlignment="1">
      <alignment horizontal="left" vertical="top"/>
    </xf>
    <xf numFmtId="0" fontId="5" fillId="4" borderId="1" xfId="4" applyFont="1" applyFill="1" applyBorder="1" applyAlignment="1">
      <alignment horizontal="left"/>
    </xf>
    <xf numFmtId="0" fontId="5" fillId="4" borderId="3" xfId="4" applyFont="1" applyFill="1" applyBorder="1" applyAlignment="1">
      <alignment horizontal="left"/>
    </xf>
    <xf numFmtId="0" fontId="7" fillId="10" borderId="1" xfId="4" applyFont="1" applyFill="1" applyBorder="1" applyAlignment="1">
      <alignment horizontal="left"/>
    </xf>
    <xf numFmtId="0" fontId="7" fillId="10" borderId="3" xfId="4" applyFont="1" applyFill="1" applyBorder="1" applyAlignment="1">
      <alignment horizontal="left"/>
    </xf>
    <xf numFmtId="0" fontId="6" fillId="2" borderId="5" xfId="4" applyFont="1" applyFill="1" applyBorder="1" applyAlignment="1">
      <alignment horizontal="left" vertical="top"/>
    </xf>
    <xf numFmtId="0" fontId="5" fillId="10" borderId="5" xfId="4" applyFont="1" applyFill="1" applyBorder="1" applyAlignment="1">
      <alignment horizontal="left"/>
    </xf>
    <xf numFmtId="0" fontId="6" fillId="2" borderId="1" xfId="4" applyFont="1" applyFill="1" applyBorder="1" applyAlignment="1">
      <alignment horizontal="left" vertical="top" wrapText="1"/>
    </xf>
    <xf numFmtId="0" fontId="6" fillId="2" borderId="2" xfId="4" applyFont="1" applyFill="1" applyBorder="1" applyAlignment="1">
      <alignment horizontal="left" vertical="top"/>
    </xf>
    <xf numFmtId="0" fontId="6" fillId="2" borderId="3" xfId="4" applyFont="1" applyFill="1" applyBorder="1" applyAlignment="1">
      <alignment horizontal="left" vertical="top"/>
    </xf>
    <xf numFmtId="0" fontId="5" fillId="10" borderId="1" xfId="4" applyFont="1" applyFill="1" applyBorder="1" applyAlignment="1">
      <alignment horizontal="center" vertical="top"/>
    </xf>
    <xf numFmtId="0" fontId="5" fillId="10" borderId="3" xfId="4" applyFont="1" applyFill="1" applyBorder="1" applyAlignment="1">
      <alignment horizontal="center" vertical="top"/>
    </xf>
    <xf numFmtId="0" fontId="6" fillId="2" borderId="8" xfId="4" applyFont="1" applyFill="1" applyBorder="1" applyAlignment="1">
      <alignment horizontal="left" vertical="top" wrapText="1"/>
    </xf>
    <xf numFmtId="0" fontId="6" fillId="2" borderId="9" xfId="4" applyFont="1" applyFill="1" applyBorder="1" applyAlignment="1">
      <alignment horizontal="left" vertical="top"/>
    </xf>
    <xf numFmtId="0" fontId="6" fillId="2" borderId="10" xfId="4" applyFont="1" applyFill="1" applyBorder="1" applyAlignment="1">
      <alignment horizontal="left" vertical="top"/>
    </xf>
    <xf numFmtId="0" fontId="9" fillId="2" borderId="6" xfId="4" applyFont="1" applyFill="1" applyBorder="1" applyAlignment="1">
      <alignment horizontal="left"/>
    </xf>
    <xf numFmtId="0" fontId="9" fillId="2" borderId="0" xfId="4" applyFont="1" applyFill="1" applyAlignment="1">
      <alignment horizontal="left"/>
    </xf>
    <xf numFmtId="0" fontId="9" fillId="2" borderId="4" xfId="4" applyFont="1" applyFill="1" applyBorder="1" applyAlignment="1">
      <alignment horizontal="left"/>
    </xf>
    <xf numFmtId="0" fontId="5" fillId="4" borderId="1" xfId="4" applyFont="1" applyFill="1" applyBorder="1" applyAlignment="1">
      <alignment horizontal="left" vertical="center" wrapText="1"/>
    </xf>
    <xf numFmtId="0" fontId="5" fillId="4" borderId="3" xfId="4" applyFont="1" applyFill="1" applyBorder="1" applyAlignment="1">
      <alignment horizontal="left" vertical="center" wrapText="1"/>
    </xf>
    <xf numFmtId="0" fontId="8" fillId="2" borderId="1" xfId="4" applyFont="1" applyFill="1" applyBorder="1" applyAlignment="1">
      <alignment horizontal="left"/>
    </xf>
    <xf numFmtId="0" fontId="8" fillId="2" borderId="3" xfId="4" applyFont="1" applyFill="1" applyBorder="1" applyAlignment="1">
      <alignment horizontal="left"/>
    </xf>
    <xf numFmtId="0" fontId="6" fillId="2" borderId="1" xfId="4" applyFont="1" applyFill="1" applyBorder="1" applyAlignment="1">
      <alignment horizontal="left"/>
    </xf>
    <xf numFmtId="0" fontId="6" fillId="2" borderId="3" xfId="4" applyFont="1" applyFill="1" applyBorder="1" applyAlignment="1">
      <alignment horizontal="left"/>
    </xf>
    <xf numFmtId="0" fontId="5" fillId="4" borderId="11" xfId="4" applyFont="1" applyFill="1" applyBorder="1" applyAlignment="1">
      <alignment horizontal="left" vertical="center"/>
    </xf>
    <xf numFmtId="0" fontId="5" fillId="4" borderId="13" xfId="4" applyFont="1" applyFill="1" applyBorder="1" applyAlignment="1">
      <alignment horizontal="left" vertical="center"/>
    </xf>
    <xf numFmtId="0" fontId="5" fillId="10" borderId="1" xfId="4" applyFont="1" applyFill="1" applyBorder="1" applyAlignment="1">
      <alignment horizontal="center" vertical="center" wrapText="1"/>
    </xf>
    <xf numFmtId="0" fontId="5" fillId="10" borderId="2" xfId="4" applyFont="1" applyFill="1" applyBorder="1" applyAlignment="1">
      <alignment horizontal="center" vertical="center" wrapText="1"/>
    </xf>
    <xf numFmtId="0" fontId="5" fillId="10" borderId="3" xfId="4" applyFont="1" applyFill="1" applyBorder="1" applyAlignment="1">
      <alignment horizontal="center" vertical="center" wrapText="1"/>
    </xf>
    <xf numFmtId="0" fontId="6" fillId="2" borderId="1" xfId="4" applyFont="1" applyFill="1" applyBorder="1" applyAlignment="1">
      <alignment horizontal="left" vertical="top"/>
    </xf>
    <xf numFmtId="0" fontId="6" fillId="0" borderId="1" xfId="4" applyFont="1" applyBorder="1" applyAlignment="1">
      <alignment horizontal="left"/>
    </xf>
    <xf numFmtId="0" fontId="6" fillId="0" borderId="3" xfId="4" applyFont="1" applyBorder="1" applyAlignment="1">
      <alignment horizontal="left"/>
    </xf>
    <xf numFmtId="0" fontId="6" fillId="4" borderId="1" xfId="4" applyFont="1" applyFill="1" applyBorder="1" applyAlignment="1">
      <alignment horizontal="left"/>
    </xf>
    <xf numFmtId="0" fontId="6" fillId="4" borderId="3" xfId="4" applyFont="1" applyFill="1" applyBorder="1" applyAlignment="1">
      <alignment horizontal="left"/>
    </xf>
    <xf numFmtId="0" fontId="5" fillId="10" borderId="11" xfId="4" applyFont="1" applyFill="1" applyBorder="1" applyAlignment="1">
      <alignment horizontal="center"/>
    </xf>
    <xf numFmtId="0" fontId="5" fillId="10" borderId="13" xfId="4" applyFont="1" applyFill="1" applyBorder="1" applyAlignment="1">
      <alignment horizontal="center"/>
    </xf>
    <xf numFmtId="0" fontId="5" fillId="10" borderId="5" xfId="4" applyFont="1" applyFill="1" applyBorder="1" applyAlignment="1">
      <alignment horizontal="center"/>
    </xf>
    <xf numFmtId="0" fontId="10" fillId="0" borderId="5" xfId="4" applyFont="1" applyBorder="1" applyAlignment="1">
      <alignment horizontal="left" vertical="center" wrapText="1"/>
    </xf>
    <xf numFmtId="0" fontId="6" fillId="2" borderId="5" xfId="4" applyFont="1" applyFill="1" applyBorder="1" applyAlignment="1">
      <alignment horizontal="center"/>
    </xf>
    <xf numFmtId="0" fontId="5" fillId="4" borderId="5" xfId="4" applyFont="1" applyFill="1" applyBorder="1" applyAlignment="1">
      <alignment horizontal="center"/>
    </xf>
    <xf numFmtId="0" fontId="5" fillId="2" borderId="5" xfId="4" applyFont="1" applyFill="1" applyBorder="1" applyAlignment="1">
      <alignment horizontal="left"/>
    </xf>
    <xf numFmtId="0" fontId="5" fillId="2" borderId="7" xfId="4" applyFont="1" applyFill="1" applyBorder="1" applyAlignment="1">
      <alignment horizontal="left"/>
    </xf>
    <xf numFmtId="0" fontId="11" fillId="5" borderId="1" xfId="4" applyFont="1" applyFill="1" applyBorder="1" applyAlignment="1">
      <alignment horizontal="center"/>
    </xf>
    <xf numFmtId="0" fontId="11" fillId="5" borderId="3" xfId="4" applyFont="1" applyFill="1" applyBorder="1" applyAlignment="1">
      <alignment horizontal="center"/>
    </xf>
    <xf numFmtId="0" fontId="5" fillId="4" borderId="1" xfId="4" applyFont="1" applyFill="1" applyBorder="1"/>
    <xf numFmtId="0" fontId="5" fillId="4" borderId="3" xfId="4" applyFont="1" applyFill="1" applyBorder="1"/>
    <xf numFmtId="0" fontId="5" fillId="4" borderId="5" xfId="4" applyFont="1" applyFill="1" applyBorder="1" applyAlignment="1">
      <alignment horizontal="left"/>
    </xf>
    <xf numFmtId="0" fontId="5" fillId="2" borderId="11" xfId="4" applyFont="1" applyFill="1" applyBorder="1" applyAlignment="1">
      <alignment horizontal="left" vertical="top"/>
    </xf>
    <xf numFmtId="0" fontId="5" fillId="2" borderId="12" xfId="4" applyFont="1" applyFill="1" applyBorder="1" applyAlignment="1">
      <alignment horizontal="left" vertical="top"/>
    </xf>
    <xf numFmtId="0" fontId="6" fillId="4" borderId="1" xfId="4" applyFont="1" applyFill="1" applyBorder="1" applyAlignment="1">
      <alignment horizontal="center"/>
    </xf>
    <xf numFmtId="0" fontId="6" fillId="4" borderId="3" xfId="4" applyFont="1" applyFill="1" applyBorder="1" applyAlignment="1">
      <alignment horizontal="center"/>
    </xf>
    <xf numFmtId="0" fontId="5" fillId="0" borderId="1" xfId="4" applyFont="1" applyBorder="1" applyAlignment="1">
      <alignment horizontal="left"/>
    </xf>
    <xf numFmtId="0" fontId="5" fillId="0" borderId="3" xfId="4" applyFont="1" applyBorder="1" applyAlignment="1">
      <alignment horizontal="left"/>
    </xf>
    <xf numFmtId="0" fontId="9" fillId="2" borderId="6" xfId="4" applyFont="1" applyFill="1" applyBorder="1" applyAlignment="1">
      <alignment horizontal="left" vertical="top"/>
    </xf>
    <xf numFmtId="0" fontId="9" fillId="2" borderId="0" xfId="4" applyFont="1" applyFill="1" applyAlignment="1">
      <alignment horizontal="left" vertical="top"/>
    </xf>
    <xf numFmtId="0" fontId="9" fillId="2" borderId="4" xfId="4" applyFont="1" applyFill="1" applyBorder="1" applyAlignment="1">
      <alignment horizontal="left" vertical="top"/>
    </xf>
  </cellXfs>
  <cellStyles count="6">
    <cellStyle name="Normal" xfId="0" builtinId="0"/>
    <cellStyle name="Normal 10 2" xfId="3" xr:uid="{1939F12B-31AC-41C8-A994-6563FCA9CD02}"/>
    <cellStyle name="Normal 2" xfId="1" xr:uid="{432D080E-D3AD-4BB9-B650-6151476E6413}"/>
    <cellStyle name="Normal 3" xfId="4" xr:uid="{39D0F470-0BFE-4D3D-9CD3-A3EA562D45AC}"/>
    <cellStyle name="Normal 3 2" xfId="2" xr:uid="{DBDD0924-70B9-4238-950F-A5080ACA1C06}"/>
    <cellStyle name="Percent 2" xfId="5" xr:uid="{2B42FED6-E273-4FF1-B86B-DC93FF6F2A5F}"/>
  </cellStyles>
  <dxfs count="11">
    <dxf>
      <font>
        <b/>
        <i val="0"/>
        <color rgb="FF000000"/>
      </font>
      <fill>
        <patternFill>
          <fgColor indexed="64"/>
          <bgColor rgb="FFFFFFFF"/>
        </patternFill>
      </fill>
    </dxf>
    <dxf>
      <font>
        <b/>
        <i val="0"/>
        <color rgb="FF000000"/>
      </font>
      <fill>
        <gradientFill>
          <stop position="0">
            <color rgb="FFFF0000"/>
          </stop>
          <stop position="1">
            <color rgb="FFFFFF00"/>
          </stop>
        </gradientFill>
      </fill>
    </dxf>
    <dxf>
      <font>
        <b/>
        <i val="0"/>
        <color rgb="FF000000"/>
      </font>
      <fill>
        <gradientFill>
          <stop position="0">
            <color rgb="FFFFFF00"/>
          </stop>
          <stop position="1">
            <color rgb="FFFF0000"/>
          </stop>
        </gradientFill>
      </fill>
    </dxf>
    <dxf>
      <font>
        <b/>
        <i val="0"/>
        <color rgb="FF000000"/>
      </font>
      <fill>
        <gradientFill>
          <stop position="0">
            <color rgb="FF1AA149"/>
          </stop>
          <stop position="1">
            <color rgb="FFFF0000"/>
          </stop>
        </gradientFill>
      </fill>
    </dxf>
    <dxf>
      <font>
        <b/>
        <i val="0"/>
        <color rgb="FF000000"/>
      </font>
      <fill>
        <gradientFill>
          <stop position="0">
            <color rgb="FFFF0000"/>
          </stop>
          <stop position="1">
            <color rgb="FF1AA149"/>
          </stop>
        </gradientFill>
      </fill>
    </dxf>
    <dxf>
      <font>
        <b/>
        <i val="0"/>
        <color rgb="FF000000"/>
      </font>
      <fill>
        <gradientFill>
          <stop position="0">
            <color rgb="FFFFFF00"/>
          </stop>
          <stop position="1">
            <color rgb="FF1AA149"/>
          </stop>
        </gradientFill>
      </fill>
    </dxf>
    <dxf>
      <font>
        <b/>
        <i val="0"/>
        <color rgb="FF000000"/>
      </font>
      <fill>
        <gradientFill>
          <stop position="0">
            <color rgb="FF1AA149"/>
          </stop>
          <stop position="1">
            <color rgb="FFFFFF00"/>
          </stop>
        </gradientFill>
      </fill>
    </dxf>
    <dxf>
      <font>
        <b/>
        <i val="0"/>
        <color theme="1"/>
      </font>
      <fill>
        <patternFill>
          <fgColor indexed="64"/>
          <bgColor rgb="FF00B0F0"/>
        </patternFill>
      </fill>
    </dxf>
    <dxf>
      <font>
        <b/>
        <i val="0"/>
        <color rgb="FF000000"/>
      </font>
      <fill>
        <patternFill>
          <fgColor indexed="64"/>
          <bgColor rgb="FFFFFF00"/>
        </patternFill>
      </fill>
    </dxf>
    <dxf>
      <font>
        <b/>
        <i val="0"/>
        <color theme="0"/>
      </font>
      <fill>
        <patternFill>
          <fgColor indexed="64"/>
          <bgColor rgb="FFFF0000"/>
        </patternFill>
      </fill>
    </dxf>
    <dxf>
      <font>
        <b/>
        <i val="0"/>
        <color rgb="FF000000"/>
      </font>
      <fill>
        <patternFill>
          <fgColor theme="0"/>
          <bgColor rgb="FF1AA149"/>
        </patternFill>
      </fill>
    </dxf>
  </dxfs>
  <tableStyles count="0" defaultTableStyle="TableStyleMedium2" defaultPivotStyle="PivotStyleLight16"/>
  <colors>
    <mruColors>
      <color rgb="FFDDEBF7"/>
      <color rgb="FFFDE9D9"/>
      <color rgb="FFF2F2F2"/>
      <color rgb="FF262626"/>
      <color rgb="FFFFFF00"/>
      <color rgb="FFFFC5C5"/>
      <color rgb="FFEEECE1"/>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23/09/relationships/Python" Target="python.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[DSR Builder - CBPT_DEP v 0.9.6.10.xlsx]DSR!TrendTable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Execution Burn Down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28575" cap="rnd">
            <a:solidFill>
              <a:schemeClr val="accent1">
                <a:lumMod val="75000"/>
              </a:schemeClr>
            </a:solidFill>
            <a:round/>
          </a:ln>
          <a:effectLst/>
        </c:spPr>
        <c:marker>
          <c:symbol val="circle"/>
          <c:size val="5"/>
          <c:spPr>
            <a:solidFill>
              <a:schemeClr val="accent1">
                <a:lumMod val="75000"/>
              </a:schemeClr>
            </a:solidFill>
            <a:ln w="9525">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w="28575" cap="rnd">
            <a:solidFill>
              <a:schemeClr val="accent4"/>
            </a:solidFill>
            <a:round/>
          </a:ln>
          <a:effectLst/>
        </c:spPr>
        <c:marker>
          <c:symbol val="circle"/>
          <c:size val="5"/>
          <c:spPr>
            <a:solidFill>
              <a:schemeClr val="accent4">
                <a:shade val="68000"/>
              </a:schemeClr>
            </a:solidFill>
            <a:ln w="9525">
              <a:solidFill>
                <a:schemeClr val="accent4">
                  <a:shade val="6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w="28575" cap="rnd">
            <a:solidFill>
              <a:schemeClr val="accent4"/>
            </a:solidFill>
            <a:round/>
          </a:ln>
          <a:effectLst/>
        </c:spPr>
        <c:marker>
          <c:symbol val="circle"/>
          <c:size val="5"/>
          <c:spPr>
            <a:solidFill>
              <a:schemeClr val="accent4">
                <a:shade val="80000"/>
              </a:schemeClr>
            </a:solidFill>
            <a:ln w="9525">
              <a:solidFill>
                <a:schemeClr val="accent4">
                  <a:shade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w="28575" cap="rnd">
            <a:solidFill>
              <a:schemeClr val="accent4"/>
            </a:solidFill>
            <a:round/>
          </a:ln>
          <a:effectLst/>
        </c:spPr>
        <c:marker>
          <c:symbol val="circle"/>
          <c:size val="5"/>
          <c:spPr>
            <a:solidFill>
              <a:schemeClr val="accent4">
                <a:shade val="93000"/>
              </a:schemeClr>
            </a:solidFill>
            <a:ln w="9525">
              <a:solidFill>
                <a:schemeClr val="accent4">
                  <a:shade val="9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w="28575" cap="rnd">
            <a:solidFill>
              <a:schemeClr val="accent4"/>
            </a:solidFill>
            <a:round/>
          </a:ln>
          <a:effectLst/>
        </c:spPr>
        <c:marker>
          <c:symbol val="circle"/>
          <c:size val="5"/>
          <c:spPr>
            <a:solidFill>
              <a:schemeClr val="accent4">
                <a:tint val="94000"/>
              </a:schemeClr>
            </a:solidFill>
            <a:ln w="9525">
              <a:solidFill>
                <a:schemeClr val="accent4">
                  <a:tint val="9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w="28575" cap="rnd">
            <a:solidFill>
              <a:schemeClr val="accent4"/>
            </a:solidFill>
            <a:round/>
          </a:ln>
          <a:effectLst/>
        </c:spPr>
        <c:marker>
          <c:symbol val="circle"/>
          <c:size val="5"/>
          <c:spPr>
            <a:solidFill>
              <a:schemeClr val="accent4">
                <a:tint val="81000"/>
              </a:schemeClr>
            </a:solidFill>
            <a:ln w="9525">
              <a:solidFill>
                <a:schemeClr val="accent4">
                  <a:tint val="81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w="28575" cap="rnd">
            <a:solidFill>
              <a:schemeClr val="accent4"/>
            </a:solidFill>
            <a:round/>
          </a:ln>
          <a:effectLst/>
        </c:spPr>
        <c:marker>
          <c:symbol val="circle"/>
          <c:size val="5"/>
          <c:spPr>
            <a:solidFill>
              <a:schemeClr val="accent4">
                <a:tint val="69000"/>
              </a:schemeClr>
            </a:solidFill>
            <a:ln w="9525">
              <a:solidFill>
                <a:schemeClr val="accent4">
                  <a:tint val="69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w="28575" cap="rnd">
            <a:solidFill>
              <a:schemeClr val="accent4"/>
            </a:solidFill>
            <a:round/>
          </a:ln>
          <a:effectLst/>
        </c:spPr>
        <c:marker>
          <c:symbol val="circle"/>
          <c:size val="5"/>
          <c:spPr>
            <a:solidFill>
              <a:schemeClr val="accent4">
                <a:tint val="56000"/>
              </a:schemeClr>
            </a:solidFill>
            <a:ln w="9525">
              <a:solidFill>
                <a:schemeClr val="accent4">
                  <a:tint val="5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w="28575" cap="rnd">
            <a:solidFill>
              <a:schemeClr val="accent4"/>
            </a:solidFill>
            <a:round/>
          </a:ln>
          <a:effectLst/>
        </c:spPr>
        <c:marker>
          <c:symbol val="circle"/>
          <c:size val="5"/>
          <c:spPr>
            <a:solidFill>
              <a:schemeClr val="accent4">
                <a:tint val="43000"/>
              </a:schemeClr>
            </a:solidFill>
            <a:ln w="9525">
              <a:solidFill>
                <a:schemeClr val="accent4">
                  <a:tint val="4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w="28575" cap="rnd">
            <a:solidFill>
              <a:schemeClr val="accent1">
                <a:lumMod val="75000"/>
              </a:schemeClr>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w="28575" cap="rnd">
            <a:solidFill>
              <a:schemeClr val="accent1">
                <a:lumMod val="75000"/>
              </a:schemeClr>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w="28575" cap="rnd">
            <a:solidFill>
              <a:schemeClr val="accent1">
                <a:lumMod val="75000"/>
              </a:schemeClr>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w="28575" cap="rnd">
            <a:solidFill>
              <a:schemeClr val="accent2">
                <a:lumMod val="50000"/>
              </a:schemeClr>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4"/>
          </a:solidFill>
          <a:ln w="28575" cap="rnd">
            <a:solidFill>
              <a:schemeClr val="accent4"/>
            </a:solidFill>
            <a:round/>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w="28575" cap="rnd">
            <a:solidFill>
              <a:srgbClr val="92D050"/>
            </a:solidFill>
            <a:round/>
          </a:ln>
          <a:effectLst/>
        </c:spPr>
        <c:marker>
          <c:symbol val="circle"/>
          <c:size val="5"/>
          <c:spPr>
            <a:solidFill>
              <a:srgbClr val="92D050"/>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4"/>
          </a:solidFill>
          <a:ln w="28575" cap="rnd">
            <a:solidFill>
              <a:schemeClr val="accent4"/>
            </a:solidFill>
            <a:round/>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4"/>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rgbClr val="00B0F0"/>
            </a:solidFill>
            <a:round/>
          </a:ln>
          <a:effectLst/>
        </c:spPr>
        <c:marker>
          <c:symbol val="circle"/>
          <c:size val="5"/>
          <c:spPr>
            <a:solidFill>
              <a:srgbClr val="00B0F0"/>
            </a:solidFill>
            <a:ln w="9525">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16894205226605E-2"/>
          <c:y val="8.0144463270391417E-2"/>
          <c:w val="0.92811598707818566"/>
          <c:h val="0.70956575552106649"/>
        </c:manualLayout>
      </c:layout>
      <c:lineChart>
        <c:grouping val="standard"/>
        <c:varyColors val="0"/>
        <c:ser>
          <c:idx val="0"/>
          <c:order val="0"/>
          <c:tx>
            <c:strRef>
              <c:f>DSR!$EZ$9</c:f>
              <c:strCache>
                <c:ptCount val="1"/>
                <c:pt idx="0">
                  <c:v>Sum of PENDING_TC</c:v>
                </c:pt>
              </c:strCache>
            </c:strRef>
          </c:tx>
          <c:spPr>
            <a:ln w="28575" cap="rnd">
              <a:solidFill>
                <a:schemeClr val="accent4">
                  <a:shade val="76000"/>
                </a:schemeClr>
              </a:solidFill>
              <a:round/>
            </a:ln>
            <a:effectLst/>
          </c:spPr>
          <c:marker>
            <c:symbol val="circle"/>
            <c:size val="5"/>
            <c:spPr>
              <a:solidFill>
                <a:schemeClr val="accent4">
                  <a:shade val="76000"/>
                </a:schemeClr>
              </a:solidFill>
              <a:ln w="9525">
                <a:solidFill>
                  <a:schemeClr val="accent4">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DSR!$EY$10:$EY$31</c:f>
              <c:strCache>
                <c:ptCount val="22"/>
                <c:pt idx="0">
                  <c:v>5-May</c:v>
                </c:pt>
                <c:pt idx="1">
                  <c:v>6-May</c:v>
                </c:pt>
                <c:pt idx="2">
                  <c:v>7-May</c:v>
                </c:pt>
                <c:pt idx="3">
                  <c:v>8-May</c:v>
                </c:pt>
                <c:pt idx="4">
                  <c:v>9-May</c:v>
                </c:pt>
                <c:pt idx="5">
                  <c:v>12-May</c:v>
                </c:pt>
                <c:pt idx="6">
                  <c:v>13-May</c:v>
                </c:pt>
                <c:pt idx="7">
                  <c:v>14-May</c:v>
                </c:pt>
                <c:pt idx="8">
                  <c:v>15-May</c:v>
                </c:pt>
                <c:pt idx="9">
                  <c:v>16-May</c:v>
                </c:pt>
                <c:pt idx="10">
                  <c:v>19-May</c:v>
                </c:pt>
                <c:pt idx="11">
                  <c:v>20-May</c:v>
                </c:pt>
                <c:pt idx="12">
                  <c:v>21-May</c:v>
                </c:pt>
                <c:pt idx="13">
                  <c:v>22-May</c:v>
                </c:pt>
                <c:pt idx="14">
                  <c:v>23-May</c:v>
                </c:pt>
                <c:pt idx="15">
                  <c:v>26-May</c:v>
                </c:pt>
                <c:pt idx="16">
                  <c:v>27-May</c:v>
                </c:pt>
                <c:pt idx="17">
                  <c:v>28-May</c:v>
                </c:pt>
                <c:pt idx="18">
                  <c:v>29-May</c:v>
                </c:pt>
                <c:pt idx="19">
                  <c:v>30-May</c:v>
                </c:pt>
                <c:pt idx="20">
                  <c:v>2-Jun</c:v>
                </c:pt>
                <c:pt idx="21">
                  <c:v>3-Jun</c:v>
                </c:pt>
              </c:strCache>
            </c:strRef>
          </c:cat>
          <c:val>
            <c:numRef>
              <c:f>DSR!$EZ$10:$EZ$31</c:f>
              <c:numCache>
                <c:formatCode>General</c:formatCode>
                <c:ptCount val="22"/>
                <c:pt idx="0">
                  <c:v>500</c:v>
                </c:pt>
                <c:pt idx="1">
                  <c:v>504</c:v>
                </c:pt>
                <c:pt idx="2">
                  <c:v>451</c:v>
                </c:pt>
                <c:pt idx="3">
                  <c:v>403</c:v>
                </c:pt>
                <c:pt idx="4">
                  <c:v>363</c:v>
                </c:pt>
                <c:pt idx="5">
                  <c:v>314</c:v>
                </c:pt>
                <c:pt idx="6">
                  <c:v>304</c:v>
                </c:pt>
                <c:pt idx="7">
                  <c:v>279</c:v>
                </c:pt>
                <c:pt idx="8">
                  <c:v>277</c:v>
                </c:pt>
                <c:pt idx="9">
                  <c:v>265</c:v>
                </c:pt>
                <c:pt idx="10">
                  <c:v>264</c:v>
                </c:pt>
                <c:pt idx="11">
                  <c:v>233</c:v>
                </c:pt>
                <c:pt idx="12">
                  <c:v>196</c:v>
                </c:pt>
                <c:pt idx="13">
                  <c:v>188</c:v>
                </c:pt>
                <c:pt idx="14">
                  <c:v>130</c:v>
                </c:pt>
                <c:pt idx="15">
                  <c:v>60</c:v>
                </c:pt>
                <c:pt idx="16">
                  <c:v>58</c:v>
                </c:pt>
                <c:pt idx="17">
                  <c:v>16</c:v>
                </c:pt>
                <c:pt idx="18">
                  <c:v>31</c:v>
                </c:pt>
                <c:pt idx="19">
                  <c:v>5</c:v>
                </c:pt>
                <c:pt idx="20">
                  <c:v>11</c:v>
                </c:pt>
                <c:pt idx="21">
                  <c:v>-15</c:v>
                </c:pt>
              </c:numCache>
            </c:numRef>
          </c:val>
          <c:smooth val="0"/>
          <c:extLst>
            <c:ext xmlns:c16="http://schemas.microsoft.com/office/drawing/2014/chart" uri="{C3380CC4-5D6E-409C-BE32-E72D297353CC}">
              <c16:uniqueId val="{00000001-A347-48E1-968E-135DE96E7A6B}"/>
            </c:ext>
          </c:extLst>
        </c:ser>
        <c:ser>
          <c:idx val="1"/>
          <c:order val="1"/>
          <c:tx>
            <c:strRef>
              <c:f>DSR!$FA$9</c:f>
              <c:strCache>
                <c:ptCount val="1"/>
                <c:pt idx="0">
                  <c:v>Sum of PLANNED_TC</c:v>
                </c:pt>
              </c:strCache>
            </c:strRef>
          </c:tx>
          <c:spPr>
            <a:ln w="28575" cap="rnd">
              <a:solidFill>
                <a:srgbClr val="00B0F0"/>
              </a:solidFill>
              <a:round/>
            </a:ln>
            <a:effectLst/>
          </c:spPr>
          <c:marker>
            <c:symbol val="circle"/>
            <c:size val="5"/>
            <c:spPr>
              <a:solidFill>
                <a:srgbClr val="00B0F0"/>
              </a:solidFill>
              <a:ln w="9525">
                <a:solidFill>
                  <a:srgbClr val="00B0F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DSR!$EY$10:$EY$31</c:f>
              <c:strCache>
                <c:ptCount val="22"/>
                <c:pt idx="0">
                  <c:v>5-May</c:v>
                </c:pt>
                <c:pt idx="1">
                  <c:v>6-May</c:v>
                </c:pt>
                <c:pt idx="2">
                  <c:v>7-May</c:v>
                </c:pt>
                <c:pt idx="3">
                  <c:v>8-May</c:v>
                </c:pt>
                <c:pt idx="4">
                  <c:v>9-May</c:v>
                </c:pt>
                <c:pt idx="5">
                  <c:v>12-May</c:v>
                </c:pt>
                <c:pt idx="6">
                  <c:v>13-May</c:v>
                </c:pt>
                <c:pt idx="7">
                  <c:v>14-May</c:v>
                </c:pt>
                <c:pt idx="8">
                  <c:v>15-May</c:v>
                </c:pt>
                <c:pt idx="9">
                  <c:v>16-May</c:v>
                </c:pt>
                <c:pt idx="10">
                  <c:v>19-May</c:v>
                </c:pt>
                <c:pt idx="11">
                  <c:v>20-May</c:v>
                </c:pt>
                <c:pt idx="12">
                  <c:v>21-May</c:v>
                </c:pt>
                <c:pt idx="13">
                  <c:v>22-May</c:v>
                </c:pt>
                <c:pt idx="14">
                  <c:v>23-May</c:v>
                </c:pt>
                <c:pt idx="15">
                  <c:v>26-May</c:v>
                </c:pt>
                <c:pt idx="16">
                  <c:v>27-May</c:v>
                </c:pt>
                <c:pt idx="17">
                  <c:v>28-May</c:v>
                </c:pt>
                <c:pt idx="18">
                  <c:v>29-May</c:v>
                </c:pt>
                <c:pt idx="19">
                  <c:v>30-May</c:v>
                </c:pt>
                <c:pt idx="20">
                  <c:v>2-Jun</c:v>
                </c:pt>
                <c:pt idx="21">
                  <c:v>3-Jun</c:v>
                </c:pt>
              </c:strCache>
            </c:strRef>
          </c:cat>
          <c:val>
            <c:numRef>
              <c:f>DSR!$FA$10:$FA$31</c:f>
              <c:numCache>
                <c:formatCode>General</c:formatCode>
                <c:ptCount val="22"/>
                <c:pt idx="0">
                  <c:v>510</c:v>
                </c:pt>
                <c:pt idx="1">
                  <c:v>507</c:v>
                </c:pt>
                <c:pt idx="2">
                  <c:v>479</c:v>
                </c:pt>
                <c:pt idx="3">
                  <c:v>441</c:v>
                </c:pt>
                <c:pt idx="4">
                  <c:v>402</c:v>
                </c:pt>
                <c:pt idx="5">
                  <c:v>358</c:v>
                </c:pt>
                <c:pt idx="6">
                  <c:v>331</c:v>
                </c:pt>
                <c:pt idx="7">
                  <c:v>305</c:v>
                </c:pt>
                <c:pt idx="8">
                  <c:v>291</c:v>
                </c:pt>
                <c:pt idx="9">
                  <c:v>278</c:v>
                </c:pt>
                <c:pt idx="10">
                  <c:v>271</c:v>
                </c:pt>
                <c:pt idx="11">
                  <c:v>252</c:v>
                </c:pt>
                <c:pt idx="12">
                  <c:v>224</c:v>
                </c:pt>
                <c:pt idx="13">
                  <c:v>206</c:v>
                </c:pt>
                <c:pt idx="14">
                  <c:v>168</c:v>
                </c:pt>
                <c:pt idx="15">
                  <c:v>114</c:v>
                </c:pt>
                <c:pt idx="16">
                  <c:v>86</c:v>
                </c:pt>
                <c:pt idx="17">
                  <c:v>51</c:v>
                </c:pt>
                <c:pt idx="18">
                  <c:v>41</c:v>
                </c:pt>
                <c:pt idx="19">
                  <c:v>23</c:v>
                </c:pt>
                <c:pt idx="20">
                  <c:v>17</c:v>
                </c:pt>
                <c:pt idx="21">
                  <c:v>1</c:v>
                </c:pt>
              </c:numCache>
            </c:numRef>
          </c:val>
          <c:smooth val="0"/>
          <c:extLst>
            <c:ext xmlns:c16="http://schemas.microsoft.com/office/drawing/2014/chart" uri="{C3380CC4-5D6E-409C-BE32-E72D297353CC}">
              <c16:uniqueId val="{00000002-A347-48E1-968E-135DE96E7A6B}"/>
            </c:ext>
          </c:extLst>
        </c:ser>
        <c:dLbls>
          <c:dLblPos val="t"/>
          <c:showLegendKey val="0"/>
          <c:showVal val="1"/>
          <c:showCatName val="0"/>
          <c:showSerName val="0"/>
          <c:showPercent val="0"/>
          <c:showBubbleSize val="0"/>
        </c:dLbls>
        <c:marker val="1"/>
        <c:smooth val="0"/>
        <c:axId val="1167633832"/>
        <c:axId val="1167635632"/>
      </c:lineChart>
      <c:catAx>
        <c:axId val="1167633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635632"/>
        <c:crosses val="autoZero"/>
        <c:auto val="1"/>
        <c:lblAlgn val="ctr"/>
        <c:lblOffset val="100"/>
        <c:noMultiLvlLbl val="0"/>
      </c:catAx>
      <c:valAx>
        <c:axId val="1167635632"/>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633832"/>
        <c:crosses val="autoZero"/>
        <c:crossBetween val="between"/>
        <c:minorUnit val="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[DSR Builder - CBPT_DEP v 0.9.6.10.xlsx]DSR!PivotTable1</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 Trend in all Cycle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lumMod val="5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alpha val="81000"/>
              </a:schemeClr>
            </a:solidFill>
            <a:round/>
          </a:ln>
          <a:effectLst/>
        </c:spPr>
        <c:marker>
          <c:symbol val="circle"/>
          <c:size val="5"/>
          <c:spPr>
            <a:solidFill>
              <a:srgbClr val="00B0F0"/>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06628091674179E-2"/>
          <c:y val="0.13662931223906835"/>
          <c:w val="0.92761994352543187"/>
          <c:h val="0.44551322976519825"/>
        </c:manualLayout>
      </c:layout>
      <c:lineChart>
        <c:grouping val="standard"/>
        <c:varyColors val="0"/>
        <c:ser>
          <c:idx val="0"/>
          <c:order val="0"/>
          <c:tx>
            <c:strRef>
              <c:f>DSR!$FR$9</c:f>
              <c:strCache>
                <c:ptCount val="1"/>
                <c:pt idx="0">
                  <c:v>Sum of Total Open Defect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DSR!$FQ$10:$FQ$65</c:f>
              <c:strCache>
                <c:ptCount val="55"/>
                <c:pt idx="0">
                  <c:v>8-Apr</c:v>
                </c:pt>
                <c:pt idx="1">
                  <c:v>9-Apr</c:v>
                </c:pt>
                <c:pt idx="2">
                  <c:v>10-Apr</c:v>
                </c:pt>
                <c:pt idx="3">
                  <c:v>11-Apr</c:v>
                </c:pt>
                <c:pt idx="4">
                  <c:v>14-Apr</c:v>
                </c:pt>
                <c:pt idx="5">
                  <c:v>16-Apr</c:v>
                </c:pt>
                <c:pt idx="6">
                  <c:v>17-Apr</c:v>
                </c:pt>
                <c:pt idx="7">
                  <c:v>18-Apr</c:v>
                </c:pt>
                <c:pt idx="8">
                  <c:v>21-Apr</c:v>
                </c:pt>
                <c:pt idx="9">
                  <c:v>22-Apr</c:v>
                </c:pt>
                <c:pt idx="10">
                  <c:v>23-Apr</c:v>
                </c:pt>
                <c:pt idx="11">
                  <c:v>24-Apr</c:v>
                </c:pt>
                <c:pt idx="12">
                  <c:v>25-Apr</c:v>
                </c:pt>
                <c:pt idx="13">
                  <c:v>28-Apr</c:v>
                </c:pt>
                <c:pt idx="14">
                  <c:v>29-Apr</c:v>
                </c:pt>
                <c:pt idx="15">
                  <c:v>30-Apr</c:v>
                </c:pt>
                <c:pt idx="16">
                  <c:v>2-May</c:v>
                </c:pt>
                <c:pt idx="17">
                  <c:v>5-May</c:v>
                </c:pt>
                <c:pt idx="18">
                  <c:v>6-May</c:v>
                </c:pt>
                <c:pt idx="19">
                  <c:v>7-May</c:v>
                </c:pt>
                <c:pt idx="20">
                  <c:v>8-May</c:v>
                </c:pt>
                <c:pt idx="21">
                  <c:v>12-May</c:v>
                </c:pt>
                <c:pt idx="22">
                  <c:v>13-May</c:v>
                </c:pt>
                <c:pt idx="23">
                  <c:v>14-May</c:v>
                </c:pt>
                <c:pt idx="24">
                  <c:v>15-May</c:v>
                </c:pt>
                <c:pt idx="25">
                  <c:v>16-May</c:v>
                </c:pt>
                <c:pt idx="26">
                  <c:v>19-May</c:v>
                </c:pt>
                <c:pt idx="27">
                  <c:v>20-May</c:v>
                </c:pt>
                <c:pt idx="28">
                  <c:v>21-May</c:v>
                </c:pt>
                <c:pt idx="29">
                  <c:v>22-May</c:v>
                </c:pt>
                <c:pt idx="30">
                  <c:v>23-May</c:v>
                </c:pt>
                <c:pt idx="31">
                  <c:v>26-May</c:v>
                </c:pt>
                <c:pt idx="32">
                  <c:v>27-May</c:v>
                </c:pt>
                <c:pt idx="33">
                  <c:v>28-May</c:v>
                </c:pt>
                <c:pt idx="34">
                  <c:v>29-May</c:v>
                </c:pt>
                <c:pt idx="35">
                  <c:v>2-Jun</c:v>
                </c:pt>
                <c:pt idx="36">
                  <c:v>3-Jun</c:v>
                </c:pt>
                <c:pt idx="37">
                  <c:v>5-Jun</c:v>
                </c:pt>
                <c:pt idx="38">
                  <c:v>11-Jun</c:v>
                </c:pt>
                <c:pt idx="39">
                  <c:v>12-Jun</c:v>
                </c:pt>
                <c:pt idx="40">
                  <c:v>13-Jun</c:v>
                </c:pt>
                <c:pt idx="41">
                  <c:v>16-Jun</c:v>
                </c:pt>
                <c:pt idx="42">
                  <c:v>17-Jun</c:v>
                </c:pt>
                <c:pt idx="43">
                  <c:v>19-Jun</c:v>
                </c:pt>
                <c:pt idx="44">
                  <c:v>23-Jun</c:v>
                </c:pt>
                <c:pt idx="45">
                  <c:v>25-Jun</c:v>
                </c:pt>
                <c:pt idx="46">
                  <c:v>27-Jun</c:v>
                </c:pt>
                <c:pt idx="47">
                  <c:v>30-Jun</c:v>
                </c:pt>
                <c:pt idx="48">
                  <c:v>3-Jul</c:v>
                </c:pt>
                <c:pt idx="49">
                  <c:v>4-Jul</c:v>
                </c:pt>
                <c:pt idx="50">
                  <c:v>7-Jul</c:v>
                </c:pt>
                <c:pt idx="51">
                  <c:v>8-Jul</c:v>
                </c:pt>
                <c:pt idx="52">
                  <c:v>9-Jul</c:v>
                </c:pt>
                <c:pt idx="53">
                  <c:v>18-Jul</c:v>
                </c:pt>
                <c:pt idx="54">
                  <c:v>&lt;4/8/2025</c:v>
                </c:pt>
              </c:strCache>
            </c:strRef>
          </c:cat>
          <c:val>
            <c:numRef>
              <c:f>DSR!$FR$10:$FR$65</c:f>
              <c:numCache>
                <c:formatCode>General</c:formatCode>
                <c:ptCount val="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1</c:v>
                </c:pt>
              </c:numCache>
            </c:numRef>
          </c:val>
          <c:smooth val="0"/>
          <c:extLst>
            <c:ext xmlns:c16="http://schemas.microsoft.com/office/drawing/2014/chart" uri="{C3380CC4-5D6E-409C-BE32-E72D297353CC}">
              <c16:uniqueId val="{00000004-B511-477E-A8A6-9508EF90DE81}"/>
            </c:ext>
          </c:extLst>
        </c:ser>
        <c:ser>
          <c:idx val="1"/>
          <c:order val="1"/>
          <c:tx>
            <c:strRef>
              <c:f>DSR!$FS$9</c:f>
              <c:strCache>
                <c:ptCount val="1"/>
                <c:pt idx="0">
                  <c:v>Sum of Closed Defect</c:v>
                </c:pt>
              </c:strCache>
            </c:strRef>
          </c:tx>
          <c:spPr>
            <a:ln w="28575" cap="rnd">
              <a:solidFill>
                <a:schemeClr val="accent2"/>
              </a:solidFill>
              <a:round/>
            </a:ln>
            <a:effectLst/>
          </c:spPr>
          <c:marker>
            <c:symbol val="circle"/>
            <c:size val="5"/>
            <c:spPr>
              <a:solidFill>
                <a:schemeClr val="accent1">
                  <a:lumMod val="50000"/>
                </a:schemeClr>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DSR!$FQ$10:$FQ$65</c:f>
              <c:strCache>
                <c:ptCount val="55"/>
                <c:pt idx="0">
                  <c:v>8-Apr</c:v>
                </c:pt>
                <c:pt idx="1">
                  <c:v>9-Apr</c:v>
                </c:pt>
                <c:pt idx="2">
                  <c:v>10-Apr</c:v>
                </c:pt>
                <c:pt idx="3">
                  <c:v>11-Apr</c:v>
                </c:pt>
                <c:pt idx="4">
                  <c:v>14-Apr</c:v>
                </c:pt>
                <c:pt idx="5">
                  <c:v>16-Apr</c:v>
                </c:pt>
                <c:pt idx="6">
                  <c:v>17-Apr</c:v>
                </c:pt>
                <c:pt idx="7">
                  <c:v>18-Apr</c:v>
                </c:pt>
                <c:pt idx="8">
                  <c:v>21-Apr</c:v>
                </c:pt>
                <c:pt idx="9">
                  <c:v>22-Apr</c:v>
                </c:pt>
                <c:pt idx="10">
                  <c:v>23-Apr</c:v>
                </c:pt>
                <c:pt idx="11">
                  <c:v>24-Apr</c:v>
                </c:pt>
                <c:pt idx="12">
                  <c:v>25-Apr</c:v>
                </c:pt>
                <c:pt idx="13">
                  <c:v>28-Apr</c:v>
                </c:pt>
                <c:pt idx="14">
                  <c:v>29-Apr</c:v>
                </c:pt>
                <c:pt idx="15">
                  <c:v>30-Apr</c:v>
                </c:pt>
                <c:pt idx="16">
                  <c:v>2-May</c:v>
                </c:pt>
                <c:pt idx="17">
                  <c:v>5-May</c:v>
                </c:pt>
                <c:pt idx="18">
                  <c:v>6-May</c:v>
                </c:pt>
                <c:pt idx="19">
                  <c:v>7-May</c:v>
                </c:pt>
                <c:pt idx="20">
                  <c:v>8-May</c:v>
                </c:pt>
                <c:pt idx="21">
                  <c:v>12-May</c:v>
                </c:pt>
                <c:pt idx="22">
                  <c:v>13-May</c:v>
                </c:pt>
                <c:pt idx="23">
                  <c:v>14-May</c:v>
                </c:pt>
                <c:pt idx="24">
                  <c:v>15-May</c:v>
                </c:pt>
                <c:pt idx="25">
                  <c:v>16-May</c:v>
                </c:pt>
                <c:pt idx="26">
                  <c:v>19-May</c:v>
                </c:pt>
                <c:pt idx="27">
                  <c:v>20-May</c:v>
                </c:pt>
                <c:pt idx="28">
                  <c:v>21-May</c:v>
                </c:pt>
                <c:pt idx="29">
                  <c:v>22-May</c:v>
                </c:pt>
                <c:pt idx="30">
                  <c:v>23-May</c:v>
                </c:pt>
                <c:pt idx="31">
                  <c:v>26-May</c:v>
                </c:pt>
                <c:pt idx="32">
                  <c:v>27-May</c:v>
                </c:pt>
                <c:pt idx="33">
                  <c:v>28-May</c:v>
                </c:pt>
                <c:pt idx="34">
                  <c:v>29-May</c:v>
                </c:pt>
                <c:pt idx="35">
                  <c:v>2-Jun</c:v>
                </c:pt>
                <c:pt idx="36">
                  <c:v>3-Jun</c:v>
                </c:pt>
                <c:pt idx="37">
                  <c:v>5-Jun</c:v>
                </c:pt>
                <c:pt idx="38">
                  <c:v>11-Jun</c:v>
                </c:pt>
                <c:pt idx="39">
                  <c:v>12-Jun</c:v>
                </c:pt>
                <c:pt idx="40">
                  <c:v>13-Jun</c:v>
                </c:pt>
                <c:pt idx="41">
                  <c:v>16-Jun</c:v>
                </c:pt>
                <c:pt idx="42">
                  <c:v>17-Jun</c:v>
                </c:pt>
                <c:pt idx="43">
                  <c:v>19-Jun</c:v>
                </c:pt>
                <c:pt idx="44">
                  <c:v>23-Jun</c:v>
                </c:pt>
                <c:pt idx="45">
                  <c:v>25-Jun</c:v>
                </c:pt>
                <c:pt idx="46">
                  <c:v>27-Jun</c:v>
                </c:pt>
                <c:pt idx="47">
                  <c:v>30-Jun</c:v>
                </c:pt>
                <c:pt idx="48">
                  <c:v>3-Jul</c:v>
                </c:pt>
                <c:pt idx="49">
                  <c:v>4-Jul</c:v>
                </c:pt>
                <c:pt idx="50">
                  <c:v>7-Jul</c:v>
                </c:pt>
                <c:pt idx="51">
                  <c:v>8-Jul</c:v>
                </c:pt>
                <c:pt idx="52">
                  <c:v>9-Jul</c:v>
                </c:pt>
                <c:pt idx="53">
                  <c:v>18-Jul</c:v>
                </c:pt>
                <c:pt idx="54">
                  <c:v>&lt;4/8/2025</c:v>
                </c:pt>
              </c:strCache>
            </c:strRef>
          </c:cat>
          <c:val>
            <c:numRef>
              <c:f>DSR!$FS$10:$FS$65</c:f>
              <c:numCache>
                <c:formatCode>General</c:formatCode>
                <c:ptCount val="55"/>
                <c:pt idx="0">
                  <c:v>1</c:v>
                </c:pt>
                <c:pt idx="1">
                  <c:v>10</c:v>
                </c:pt>
                <c:pt idx="2">
                  <c:v>5</c:v>
                </c:pt>
                <c:pt idx="3">
                  <c:v>4</c:v>
                </c:pt>
                <c:pt idx="4">
                  <c:v>3</c:v>
                </c:pt>
                <c:pt idx="5">
                  <c:v>5</c:v>
                </c:pt>
                <c:pt idx="6">
                  <c:v>1</c:v>
                </c:pt>
                <c:pt idx="7">
                  <c:v>1</c:v>
                </c:pt>
                <c:pt idx="8">
                  <c:v>1</c:v>
                </c:pt>
                <c:pt idx="9">
                  <c:v>2</c:v>
                </c:pt>
                <c:pt idx="10">
                  <c:v>3</c:v>
                </c:pt>
                <c:pt idx="11">
                  <c:v>3</c:v>
                </c:pt>
                <c:pt idx="12">
                  <c:v>6</c:v>
                </c:pt>
                <c:pt idx="13">
                  <c:v>3</c:v>
                </c:pt>
                <c:pt idx="14">
                  <c:v>2</c:v>
                </c:pt>
                <c:pt idx="15">
                  <c:v>2</c:v>
                </c:pt>
                <c:pt idx="16">
                  <c:v>1</c:v>
                </c:pt>
                <c:pt idx="17">
                  <c:v>2</c:v>
                </c:pt>
                <c:pt idx="18">
                  <c:v>4</c:v>
                </c:pt>
                <c:pt idx="19">
                  <c:v>2</c:v>
                </c:pt>
                <c:pt idx="20">
                  <c:v>2</c:v>
                </c:pt>
                <c:pt idx="21">
                  <c:v>1</c:v>
                </c:pt>
                <c:pt idx="22">
                  <c:v>5</c:v>
                </c:pt>
                <c:pt idx="23">
                  <c:v>2</c:v>
                </c:pt>
                <c:pt idx="24">
                  <c:v>3</c:v>
                </c:pt>
                <c:pt idx="25">
                  <c:v>1</c:v>
                </c:pt>
                <c:pt idx="26">
                  <c:v>1</c:v>
                </c:pt>
                <c:pt idx="27">
                  <c:v>4</c:v>
                </c:pt>
                <c:pt idx="28">
                  <c:v>3</c:v>
                </c:pt>
                <c:pt idx="29">
                  <c:v>4</c:v>
                </c:pt>
                <c:pt idx="30">
                  <c:v>2</c:v>
                </c:pt>
                <c:pt idx="31">
                  <c:v>1</c:v>
                </c:pt>
                <c:pt idx="32">
                  <c:v>3</c:v>
                </c:pt>
                <c:pt idx="33">
                  <c:v>2</c:v>
                </c:pt>
                <c:pt idx="34">
                  <c:v>2</c:v>
                </c:pt>
                <c:pt idx="35">
                  <c:v>0</c:v>
                </c:pt>
                <c:pt idx="36">
                  <c:v>2</c:v>
                </c:pt>
                <c:pt idx="37">
                  <c:v>3</c:v>
                </c:pt>
                <c:pt idx="38">
                  <c:v>1</c:v>
                </c:pt>
                <c:pt idx="39">
                  <c:v>2</c:v>
                </c:pt>
                <c:pt idx="40">
                  <c:v>1</c:v>
                </c:pt>
                <c:pt idx="41">
                  <c:v>1</c:v>
                </c:pt>
                <c:pt idx="42">
                  <c:v>1</c:v>
                </c:pt>
                <c:pt idx="43">
                  <c:v>3</c:v>
                </c:pt>
                <c:pt idx="44">
                  <c:v>1</c:v>
                </c:pt>
                <c:pt idx="45">
                  <c:v>1</c:v>
                </c:pt>
                <c:pt idx="46">
                  <c:v>2</c:v>
                </c:pt>
                <c:pt idx="47">
                  <c:v>1</c:v>
                </c:pt>
                <c:pt idx="48">
                  <c:v>1</c:v>
                </c:pt>
                <c:pt idx="49">
                  <c:v>1</c:v>
                </c:pt>
                <c:pt idx="50">
                  <c:v>1</c:v>
                </c:pt>
                <c:pt idx="51">
                  <c:v>3</c:v>
                </c:pt>
                <c:pt idx="52">
                  <c:v>1</c:v>
                </c:pt>
                <c:pt idx="53">
                  <c:v>0</c:v>
                </c:pt>
              </c:numCache>
            </c:numRef>
          </c:val>
          <c:smooth val="0"/>
          <c:extLst>
            <c:ext xmlns:c16="http://schemas.microsoft.com/office/drawing/2014/chart" uri="{C3380CC4-5D6E-409C-BE32-E72D297353CC}">
              <c16:uniqueId val="{00000005-B511-477E-A8A6-9508EF90DE81}"/>
            </c:ext>
          </c:extLst>
        </c:ser>
        <c:ser>
          <c:idx val="2"/>
          <c:order val="2"/>
          <c:tx>
            <c:strRef>
              <c:f>DSR!$FT$9</c:f>
              <c:strCache>
                <c:ptCount val="1"/>
                <c:pt idx="0">
                  <c:v>Sum of New Defect</c:v>
                </c:pt>
              </c:strCache>
            </c:strRef>
          </c:tx>
          <c:spPr>
            <a:ln w="28575" cap="rnd">
              <a:solidFill>
                <a:schemeClr val="accent1">
                  <a:lumMod val="75000"/>
                  <a:alpha val="81000"/>
                </a:schemeClr>
              </a:solidFill>
              <a:round/>
            </a:ln>
            <a:effectLst/>
          </c:spPr>
          <c:marker>
            <c:symbol val="circle"/>
            <c:size val="5"/>
            <c:spPr>
              <a:solidFill>
                <a:srgbClr val="00B0F0"/>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ysDot"/>
              </a:ln>
              <a:effectLst/>
            </c:spPr>
            <c:trendlineType val="linear"/>
            <c:forward val="2"/>
            <c:dispRSqr val="0"/>
            <c:dispEq val="0"/>
          </c:trendline>
          <c:cat>
            <c:strRef>
              <c:f>DSR!$FQ$10:$FQ$65</c:f>
              <c:strCache>
                <c:ptCount val="55"/>
                <c:pt idx="0">
                  <c:v>8-Apr</c:v>
                </c:pt>
                <c:pt idx="1">
                  <c:v>9-Apr</c:v>
                </c:pt>
                <c:pt idx="2">
                  <c:v>10-Apr</c:v>
                </c:pt>
                <c:pt idx="3">
                  <c:v>11-Apr</c:v>
                </c:pt>
                <c:pt idx="4">
                  <c:v>14-Apr</c:v>
                </c:pt>
                <c:pt idx="5">
                  <c:v>16-Apr</c:v>
                </c:pt>
                <c:pt idx="6">
                  <c:v>17-Apr</c:v>
                </c:pt>
                <c:pt idx="7">
                  <c:v>18-Apr</c:v>
                </c:pt>
                <c:pt idx="8">
                  <c:v>21-Apr</c:v>
                </c:pt>
                <c:pt idx="9">
                  <c:v>22-Apr</c:v>
                </c:pt>
                <c:pt idx="10">
                  <c:v>23-Apr</c:v>
                </c:pt>
                <c:pt idx="11">
                  <c:v>24-Apr</c:v>
                </c:pt>
                <c:pt idx="12">
                  <c:v>25-Apr</c:v>
                </c:pt>
                <c:pt idx="13">
                  <c:v>28-Apr</c:v>
                </c:pt>
                <c:pt idx="14">
                  <c:v>29-Apr</c:v>
                </c:pt>
                <c:pt idx="15">
                  <c:v>30-Apr</c:v>
                </c:pt>
                <c:pt idx="16">
                  <c:v>2-May</c:v>
                </c:pt>
                <c:pt idx="17">
                  <c:v>5-May</c:v>
                </c:pt>
                <c:pt idx="18">
                  <c:v>6-May</c:v>
                </c:pt>
                <c:pt idx="19">
                  <c:v>7-May</c:v>
                </c:pt>
                <c:pt idx="20">
                  <c:v>8-May</c:v>
                </c:pt>
                <c:pt idx="21">
                  <c:v>12-May</c:v>
                </c:pt>
                <c:pt idx="22">
                  <c:v>13-May</c:v>
                </c:pt>
                <c:pt idx="23">
                  <c:v>14-May</c:v>
                </c:pt>
                <c:pt idx="24">
                  <c:v>15-May</c:v>
                </c:pt>
                <c:pt idx="25">
                  <c:v>16-May</c:v>
                </c:pt>
                <c:pt idx="26">
                  <c:v>19-May</c:v>
                </c:pt>
                <c:pt idx="27">
                  <c:v>20-May</c:v>
                </c:pt>
                <c:pt idx="28">
                  <c:v>21-May</c:v>
                </c:pt>
                <c:pt idx="29">
                  <c:v>22-May</c:v>
                </c:pt>
                <c:pt idx="30">
                  <c:v>23-May</c:v>
                </c:pt>
                <c:pt idx="31">
                  <c:v>26-May</c:v>
                </c:pt>
                <c:pt idx="32">
                  <c:v>27-May</c:v>
                </c:pt>
                <c:pt idx="33">
                  <c:v>28-May</c:v>
                </c:pt>
                <c:pt idx="34">
                  <c:v>29-May</c:v>
                </c:pt>
                <c:pt idx="35">
                  <c:v>2-Jun</c:v>
                </c:pt>
                <c:pt idx="36">
                  <c:v>3-Jun</c:v>
                </c:pt>
                <c:pt idx="37">
                  <c:v>5-Jun</c:v>
                </c:pt>
                <c:pt idx="38">
                  <c:v>11-Jun</c:v>
                </c:pt>
                <c:pt idx="39">
                  <c:v>12-Jun</c:v>
                </c:pt>
                <c:pt idx="40">
                  <c:v>13-Jun</c:v>
                </c:pt>
                <c:pt idx="41">
                  <c:v>16-Jun</c:v>
                </c:pt>
                <c:pt idx="42">
                  <c:v>17-Jun</c:v>
                </c:pt>
                <c:pt idx="43">
                  <c:v>19-Jun</c:v>
                </c:pt>
                <c:pt idx="44">
                  <c:v>23-Jun</c:v>
                </c:pt>
                <c:pt idx="45">
                  <c:v>25-Jun</c:v>
                </c:pt>
                <c:pt idx="46">
                  <c:v>27-Jun</c:v>
                </c:pt>
                <c:pt idx="47">
                  <c:v>30-Jun</c:v>
                </c:pt>
                <c:pt idx="48">
                  <c:v>3-Jul</c:v>
                </c:pt>
                <c:pt idx="49">
                  <c:v>4-Jul</c:v>
                </c:pt>
                <c:pt idx="50">
                  <c:v>7-Jul</c:v>
                </c:pt>
                <c:pt idx="51">
                  <c:v>8-Jul</c:v>
                </c:pt>
                <c:pt idx="52">
                  <c:v>9-Jul</c:v>
                </c:pt>
                <c:pt idx="53">
                  <c:v>18-Jul</c:v>
                </c:pt>
                <c:pt idx="54">
                  <c:v>&lt;4/8/2025</c:v>
                </c:pt>
              </c:strCache>
            </c:strRef>
          </c:cat>
          <c:val>
            <c:numRef>
              <c:f>DSR!$FT$10:$FT$65</c:f>
              <c:numCache>
                <c:formatCode>General</c:formatCode>
                <c:ptCount val="55"/>
                <c:pt idx="0">
                  <c:v>1</c:v>
                </c:pt>
                <c:pt idx="1">
                  <c:v>10</c:v>
                </c:pt>
                <c:pt idx="2">
                  <c:v>5</c:v>
                </c:pt>
                <c:pt idx="3">
                  <c:v>4</c:v>
                </c:pt>
                <c:pt idx="4">
                  <c:v>3</c:v>
                </c:pt>
                <c:pt idx="5">
                  <c:v>5</c:v>
                </c:pt>
                <c:pt idx="6">
                  <c:v>1</c:v>
                </c:pt>
                <c:pt idx="7">
                  <c:v>1</c:v>
                </c:pt>
                <c:pt idx="8">
                  <c:v>1</c:v>
                </c:pt>
                <c:pt idx="9">
                  <c:v>2</c:v>
                </c:pt>
                <c:pt idx="10">
                  <c:v>3</c:v>
                </c:pt>
                <c:pt idx="11">
                  <c:v>3</c:v>
                </c:pt>
                <c:pt idx="12">
                  <c:v>6</c:v>
                </c:pt>
                <c:pt idx="13">
                  <c:v>3</c:v>
                </c:pt>
                <c:pt idx="14">
                  <c:v>2</c:v>
                </c:pt>
                <c:pt idx="15">
                  <c:v>2</c:v>
                </c:pt>
                <c:pt idx="16">
                  <c:v>1</c:v>
                </c:pt>
                <c:pt idx="17">
                  <c:v>2</c:v>
                </c:pt>
                <c:pt idx="18">
                  <c:v>4</c:v>
                </c:pt>
                <c:pt idx="19">
                  <c:v>2</c:v>
                </c:pt>
                <c:pt idx="20">
                  <c:v>2</c:v>
                </c:pt>
                <c:pt idx="21">
                  <c:v>1</c:v>
                </c:pt>
                <c:pt idx="22">
                  <c:v>5</c:v>
                </c:pt>
                <c:pt idx="23">
                  <c:v>2</c:v>
                </c:pt>
                <c:pt idx="24">
                  <c:v>3</c:v>
                </c:pt>
                <c:pt idx="25">
                  <c:v>1</c:v>
                </c:pt>
                <c:pt idx="26">
                  <c:v>1</c:v>
                </c:pt>
                <c:pt idx="27">
                  <c:v>4</c:v>
                </c:pt>
                <c:pt idx="28">
                  <c:v>3</c:v>
                </c:pt>
                <c:pt idx="29">
                  <c:v>4</c:v>
                </c:pt>
                <c:pt idx="30">
                  <c:v>2</c:v>
                </c:pt>
                <c:pt idx="31">
                  <c:v>1</c:v>
                </c:pt>
                <c:pt idx="32">
                  <c:v>3</c:v>
                </c:pt>
                <c:pt idx="33">
                  <c:v>2</c:v>
                </c:pt>
                <c:pt idx="34">
                  <c:v>2</c:v>
                </c:pt>
                <c:pt idx="35">
                  <c:v>1</c:v>
                </c:pt>
                <c:pt idx="36">
                  <c:v>2</c:v>
                </c:pt>
                <c:pt idx="37">
                  <c:v>3</c:v>
                </c:pt>
                <c:pt idx="38">
                  <c:v>1</c:v>
                </c:pt>
                <c:pt idx="39">
                  <c:v>2</c:v>
                </c:pt>
                <c:pt idx="40">
                  <c:v>1</c:v>
                </c:pt>
                <c:pt idx="41">
                  <c:v>1</c:v>
                </c:pt>
                <c:pt idx="42">
                  <c:v>1</c:v>
                </c:pt>
                <c:pt idx="43">
                  <c:v>3</c:v>
                </c:pt>
                <c:pt idx="44">
                  <c:v>1</c:v>
                </c:pt>
                <c:pt idx="45">
                  <c:v>1</c:v>
                </c:pt>
                <c:pt idx="46">
                  <c:v>2</c:v>
                </c:pt>
                <c:pt idx="47">
                  <c:v>1</c:v>
                </c:pt>
                <c:pt idx="48">
                  <c:v>1</c:v>
                </c:pt>
                <c:pt idx="49">
                  <c:v>1</c:v>
                </c:pt>
                <c:pt idx="50">
                  <c:v>1</c:v>
                </c:pt>
                <c:pt idx="51">
                  <c:v>3</c:v>
                </c:pt>
                <c:pt idx="52">
                  <c:v>1</c:v>
                </c:pt>
                <c:pt idx="53">
                  <c:v>1</c:v>
                </c:pt>
              </c:numCache>
            </c:numRef>
          </c:val>
          <c:smooth val="0"/>
          <c:extLst>
            <c:ext xmlns:c16="http://schemas.microsoft.com/office/drawing/2014/chart" uri="{C3380CC4-5D6E-409C-BE32-E72D297353CC}">
              <c16:uniqueId val="{00000006-B511-477E-A8A6-9508EF90DE81}"/>
            </c:ext>
          </c:extLst>
        </c:ser>
        <c:dLbls>
          <c:dLblPos val="t"/>
          <c:showLegendKey val="0"/>
          <c:showVal val="1"/>
          <c:showCatName val="0"/>
          <c:showSerName val="0"/>
          <c:showPercent val="0"/>
          <c:showBubbleSize val="0"/>
        </c:dLbls>
        <c:marker val="1"/>
        <c:smooth val="0"/>
        <c:axId val="845531352"/>
        <c:axId val="845529552"/>
      </c:lineChart>
      <c:catAx>
        <c:axId val="845531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29552"/>
        <c:crosses val="autoZero"/>
        <c:auto val="1"/>
        <c:lblAlgn val="ctr"/>
        <c:lblOffset val="100"/>
        <c:noMultiLvlLbl val="0"/>
      </c:catAx>
      <c:valAx>
        <c:axId val="845529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531352"/>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 Defect by Days in</a:t>
            </a:r>
            <a:r>
              <a:rPr lang="en-US" baseline="0"/>
              <a:t> all Cycle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'Defect Open'!$B$1</c:f>
              <c:strCache>
                <c:ptCount val="1"/>
                <c:pt idx="0">
                  <c:v>DEFECT_COUNT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'Defect Open'!$A$2:$A$6</c:f>
              <c:strCache>
                <c:ptCount val="5"/>
                <c:pt idx="0">
                  <c:v>0</c:v>
                </c:pt>
                <c:pt idx="1">
                  <c:v>1 to 2</c:v>
                </c:pt>
                <c:pt idx="2">
                  <c:v>3 to 5</c:v>
                </c:pt>
                <c:pt idx="3">
                  <c:v>6 to 10</c:v>
                </c:pt>
                <c:pt idx="4">
                  <c:v>more than 10</c:v>
                </c:pt>
              </c:strCache>
            </c:strRef>
          </c:cat>
          <c:val>
            <c:numRef>
              <c:f>'Defect Open'!$B$2:$B$6</c:f>
              <c:numCache>
                <c:formatCode>General</c:formatCode>
                <c:ptCount val="5"/>
                <c:pt idx="0">
                  <c:v>0</c:v>
                </c:pt>
                <c:pt idx="1">
                  <c:v>0</c:v>
                </c:pt>
                <c:pt idx="2">
                  <c:v>0</c:v>
                </c:pt>
                <c:pt idx="3">
                  <c:v>0</c:v>
                </c:pt>
                <c:pt idx="4">
                  <c:v>2</c:v>
                </c:pt>
              </c:numCache>
            </c:numRef>
          </c:val>
          <c:extLst>
            <c:ext xmlns:c16="http://schemas.microsoft.com/office/drawing/2014/chart" uri="{C3380CC4-5D6E-409C-BE32-E72D297353CC}">
              <c16:uniqueId val="{00000000-6D36-473F-8A55-A6637303490D}"/>
            </c:ext>
          </c:extLst>
        </c:ser>
        <c:dLbls>
          <c:dLblPos val="outEnd"/>
          <c:showLegendKey val="0"/>
          <c:showVal val="1"/>
          <c:showCatName val="0"/>
          <c:showSerName val="0"/>
          <c:showPercent val="0"/>
          <c:showBubbleSize val="0"/>
        </c:dLbls>
        <c:gapWidth val="219"/>
        <c:overlap val="-27"/>
        <c:axId val="486579600"/>
        <c:axId val="486577800"/>
      </c:barChart>
      <c:catAx>
        <c:axId val="48657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77800"/>
        <c:crosses val="autoZero"/>
        <c:auto val="1"/>
        <c:lblAlgn val="ctr"/>
        <c:lblOffset val="100"/>
        <c:noMultiLvlLbl val="0"/>
      </c:catAx>
      <c:valAx>
        <c:axId val="486577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79600"/>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[DSR Builder - CBPT_DEP v 0.9.6.10.xlsx]DSR!PivotTable5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 by Application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85133177947797"/>
          <c:y val="0.12733581257476326"/>
          <c:w val="0.78252339483162348"/>
          <c:h val="0.59467239232400038"/>
        </c:manualLayout>
      </c:layout>
      <c:lineChart>
        <c:grouping val="standard"/>
        <c:varyColors val="0"/>
        <c:ser>
          <c:idx val="0"/>
          <c:order val="0"/>
          <c:tx>
            <c:strRef>
              <c:f>DSR!$HL$9</c:f>
              <c:strCache>
                <c:ptCount val="1"/>
                <c:pt idx="0">
                  <c:v>Sum of Closed Defects</c:v>
                </c:pt>
              </c:strCache>
            </c:strRef>
          </c:tx>
          <c:spPr>
            <a:ln w="28575" cap="rnd">
              <a:solidFill>
                <a:schemeClr val="accent1"/>
              </a:solidFill>
              <a:round/>
            </a:ln>
            <a:effectLst/>
          </c:spPr>
          <c:marker>
            <c:symbol val="none"/>
          </c:marker>
          <c:cat>
            <c:strRef>
              <c:f>DSR!$HK$10:$HK$18</c:f>
              <c:strCache>
                <c:ptCount val="8"/>
                <c:pt idx="0">
                  <c:v>CLASS</c:v>
                </c:pt>
                <c:pt idx="1">
                  <c:v>CRM</c:v>
                </c:pt>
                <c:pt idx="2">
                  <c:v>DDGS</c:v>
                </c:pt>
                <c:pt idx="3">
                  <c:v>Decision Manager</c:v>
                </c:pt>
                <c:pt idx="4">
                  <c:v>ECM</c:v>
                </c:pt>
                <c:pt idx="5">
                  <c:v>Envoy</c:v>
                </c:pt>
                <c:pt idx="6">
                  <c:v>LCMS</c:v>
                </c:pt>
                <c:pt idx="7">
                  <c:v>mMortgage</c:v>
                </c:pt>
              </c:strCache>
            </c:strRef>
          </c:cat>
          <c:val>
            <c:numRef>
              <c:f>DSR!$HL$10:$HL$18</c:f>
              <c:numCache>
                <c:formatCode>General</c:formatCode>
                <c:ptCount val="8"/>
                <c:pt idx="0">
                  <c:v>0</c:v>
                </c:pt>
                <c:pt idx="1">
                  <c:v>1</c:v>
                </c:pt>
                <c:pt idx="2">
                  <c:v>11</c:v>
                </c:pt>
                <c:pt idx="3">
                  <c:v>2</c:v>
                </c:pt>
                <c:pt idx="4">
                  <c:v>1</c:v>
                </c:pt>
                <c:pt idx="5">
                  <c:v>1</c:v>
                </c:pt>
                <c:pt idx="6">
                  <c:v>12</c:v>
                </c:pt>
                <c:pt idx="7">
                  <c:v>95</c:v>
                </c:pt>
              </c:numCache>
            </c:numRef>
          </c:val>
          <c:smooth val="0"/>
          <c:extLst>
            <c:ext xmlns:c16="http://schemas.microsoft.com/office/drawing/2014/chart" uri="{C3380CC4-5D6E-409C-BE32-E72D297353CC}">
              <c16:uniqueId val="{00000000-177C-4F31-A4DE-EAE515756352}"/>
            </c:ext>
          </c:extLst>
        </c:ser>
        <c:ser>
          <c:idx val="1"/>
          <c:order val="1"/>
          <c:tx>
            <c:strRef>
              <c:f>DSR!$HM$9</c:f>
              <c:strCache>
                <c:ptCount val="1"/>
                <c:pt idx="0">
                  <c:v>Sum of Newly Opened Today</c:v>
                </c:pt>
              </c:strCache>
            </c:strRef>
          </c:tx>
          <c:spPr>
            <a:ln w="28575" cap="rnd">
              <a:solidFill>
                <a:schemeClr val="accent2"/>
              </a:solidFill>
              <a:round/>
            </a:ln>
            <a:effectLst/>
          </c:spPr>
          <c:marker>
            <c:symbol val="none"/>
          </c:marker>
          <c:cat>
            <c:strRef>
              <c:f>DSR!$HK$10:$HK$18</c:f>
              <c:strCache>
                <c:ptCount val="8"/>
                <c:pt idx="0">
                  <c:v>CLASS</c:v>
                </c:pt>
                <c:pt idx="1">
                  <c:v>CRM</c:v>
                </c:pt>
                <c:pt idx="2">
                  <c:v>DDGS</c:v>
                </c:pt>
                <c:pt idx="3">
                  <c:v>Decision Manager</c:v>
                </c:pt>
                <c:pt idx="4">
                  <c:v>ECM</c:v>
                </c:pt>
                <c:pt idx="5">
                  <c:v>Envoy</c:v>
                </c:pt>
                <c:pt idx="6">
                  <c:v>LCMS</c:v>
                </c:pt>
                <c:pt idx="7">
                  <c:v>mMortgage</c:v>
                </c:pt>
              </c:strCache>
            </c:strRef>
          </c:cat>
          <c:val>
            <c:numRef>
              <c:f>DSR!$HM$10:$HM$18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177C-4F31-A4DE-EAE515756352}"/>
            </c:ext>
          </c:extLst>
        </c:ser>
        <c:ser>
          <c:idx val="2"/>
          <c:order val="2"/>
          <c:tx>
            <c:strRef>
              <c:f>DSR!$HN$9</c:f>
              <c:strCache>
                <c:ptCount val="1"/>
                <c:pt idx="0">
                  <c:v>Sum of Total Open Defect</c:v>
                </c:pt>
              </c:strCache>
            </c:strRef>
          </c:tx>
          <c:spPr>
            <a:ln w="28575" cap="rnd">
              <a:solidFill>
                <a:schemeClr val="accent3"/>
              </a:solidFill>
              <a:round/>
            </a:ln>
            <a:effectLst/>
          </c:spPr>
          <c:marker>
            <c:symbol val="none"/>
          </c:marker>
          <c:cat>
            <c:strRef>
              <c:f>DSR!$HK$10:$HK$18</c:f>
              <c:strCache>
                <c:ptCount val="8"/>
                <c:pt idx="0">
                  <c:v>CLASS</c:v>
                </c:pt>
                <c:pt idx="1">
                  <c:v>CRM</c:v>
                </c:pt>
                <c:pt idx="2">
                  <c:v>DDGS</c:v>
                </c:pt>
                <c:pt idx="3">
                  <c:v>Decision Manager</c:v>
                </c:pt>
                <c:pt idx="4">
                  <c:v>ECM</c:v>
                </c:pt>
                <c:pt idx="5">
                  <c:v>Envoy</c:v>
                </c:pt>
                <c:pt idx="6">
                  <c:v>LCMS</c:v>
                </c:pt>
                <c:pt idx="7">
                  <c:v>mMortgage</c:v>
                </c:pt>
              </c:strCache>
            </c:strRef>
          </c:cat>
          <c:val>
            <c:numRef>
              <c:f>DSR!$HN$10:$HN$18</c:f>
              <c:numCache>
                <c:formatCode>General</c:formatCode>
                <c:ptCount val="8"/>
                <c:pt idx="0">
                  <c:v>1</c:v>
                </c:pt>
                <c:pt idx="1">
                  <c:v>0</c:v>
                </c:pt>
                <c:pt idx="2">
                  <c:v>0</c:v>
                </c:pt>
                <c:pt idx="3">
                  <c:v>0</c:v>
                </c:pt>
                <c:pt idx="4">
                  <c:v>0</c:v>
                </c:pt>
                <c:pt idx="5">
                  <c:v>1</c:v>
                </c:pt>
                <c:pt idx="6">
                  <c:v>0</c:v>
                </c:pt>
                <c:pt idx="7">
                  <c:v>0</c:v>
                </c:pt>
              </c:numCache>
            </c:numRef>
          </c:val>
          <c:smooth val="0"/>
          <c:extLst>
            <c:ext xmlns:c16="http://schemas.microsoft.com/office/drawing/2014/chart" uri="{C3380CC4-5D6E-409C-BE32-E72D297353CC}">
              <c16:uniqueId val="{00000002-177C-4F31-A4DE-EAE515756352}"/>
            </c:ext>
          </c:extLst>
        </c:ser>
        <c:dLbls>
          <c:showLegendKey val="0"/>
          <c:showVal val="0"/>
          <c:showCatName val="0"/>
          <c:showSerName val="0"/>
          <c:showPercent val="0"/>
          <c:showBubbleSize val="0"/>
        </c:dLbls>
        <c:smooth val="0"/>
        <c:axId val="691121536"/>
        <c:axId val="691132696"/>
      </c:lineChart>
      <c:catAx>
        <c:axId val="69112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32696"/>
        <c:crosses val="autoZero"/>
        <c:auto val="1"/>
        <c:lblAlgn val="ctr"/>
        <c:lblOffset val="100"/>
        <c:noMultiLvlLbl val="0"/>
      </c:catAx>
      <c:valAx>
        <c:axId val="691132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21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38100</xdr:colOff>
          <xdr:row>0</xdr:row>
          <xdr:rowOff>175260</xdr:rowOff>
        </xdr:from>
        <xdr:to>
          <xdr:col>4</xdr:col>
          <xdr:colOff>1127760</xdr:colOff>
          <xdr:row>8</xdr:row>
          <xdr:rowOff>137160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txBody>
            <a:bodyPr vertOverflow="clip" wrap="square" lIns="173736" tIns="160020" rIns="173736" bIns="160020" anchor="ctr" upright="1"/>
            <a:lstStyle/>
            <a:p>
              <a:pPr algn="ctr" rtl="0">
                <a:defRPr sz="1000"/>
              </a:pPr>
              <a:r>
                <a:rPr lang="en-CA" sz="7200" b="1" i="0" u="none" strike="noStrike" baseline="0">
                  <a:solidFill>
                    <a:srgbClr val="000000"/>
                  </a:solidFill>
                  <a:latin typeface="Trebuchet MS"/>
                </a:rPr>
                <a:t>Run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22860</xdr:colOff>
          <xdr:row>9</xdr:row>
          <xdr:rowOff>106680</xdr:rowOff>
        </xdr:from>
        <xdr:to>
          <xdr:col>5</xdr:col>
          <xdr:colOff>15240</xdr:colOff>
          <xdr:row>14</xdr:row>
          <xdr:rowOff>99060</xdr:rowOff>
        </xdr:to>
        <xdr:sp macro="" textlink="">
          <xdr:nvSpPr>
            <xdr:cNvPr id="1028" name="Butto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CA" sz="1000" b="0" i="0" u="none" strike="noStrike" baseline="0">
                  <a:solidFill>
                    <a:srgbClr val="000000"/>
                  </a:solidFill>
                  <a:latin typeface="Trebuchet MS"/>
                </a:rPr>
                <a:t>Copy DSR To Clipboard</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8</xdr:col>
      <xdr:colOff>718184</xdr:colOff>
      <xdr:row>0</xdr:row>
      <xdr:rowOff>179069</xdr:rowOff>
    </xdr:from>
    <xdr:to>
      <xdr:col>21</xdr:col>
      <xdr:colOff>331470</xdr:colOff>
      <xdr:row>24</xdr:row>
      <xdr:rowOff>26670</xdr:rowOff>
    </xdr:to>
    <xdr:graphicFrame macro="">
      <xdr:nvGraphicFramePr>
        <xdr:cNvPr id="2" name="Chart 1">
          <a:extLst>
            <a:ext uri="{FF2B5EF4-FFF2-40B4-BE49-F238E27FC236}">
              <a16:creationId xmlns:a16="http://schemas.microsoft.com/office/drawing/2014/main" id="{7BF7B073-CE61-4923-93FE-367019A96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708659</xdr:colOff>
      <xdr:row>25</xdr:row>
      <xdr:rowOff>7619</xdr:rowOff>
    </xdr:from>
    <xdr:to>
      <xdr:col>21</xdr:col>
      <xdr:colOff>527684</xdr:colOff>
      <xdr:row>56</xdr:row>
      <xdr:rowOff>160020</xdr:rowOff>
    </xdr:to>
    <xdr:graphicFrame macro="">
      <xdr:nvGraphicFramePr>
        <xdr:cNvPr id="3" name="Chart 1">
          <a:extLst>
            <a:ext uri="{FF2B5EF4-FFF2-40B4-BE49-F238E27FC236}">
              <a16:creationId xmlns:a16="http://schemas.microsoft.com/office/drawing/2014/main" id="{CFFA94C5-D385-4541-8AD9-61311E8285E4}"/>
            </a:ext>
            <a:ext uri="{147F2762-F138-4A5C-976F-8EAC2B608ADB}">
              <a16:predDERef xmlns:a16="http://schemas.microsoft.com/office/drawing/2014/main" pred="{6512F9B8-9C1A-46D0-8B97-B545D6702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771524</xdr:colOff>
      <xdr:row>60</xdr:row>
      <xdr:rowOff>58102</xdr:rowOff>
    </xdr:from>
    <xdr:to>
      <xdr:col>14</xdr:col>
      <xdr:colOff>561974</xdr:colOff>
      <xdr:row>74</xdr:row>
      <xdr:rowOff>163830</xdr:rowOff>
    </xdr:to>
    <xdr:graphicFrame macro="">
      <xdr:nvGraphicFramePr>
        <xdr:cNvPr id="7" name="Chart 6">
          <a:extLst>
            <a:ext uri="{FF2B5EF4-FFF2-40B4-BE49-F238E27FC236}">
              <a16:creationId xmlns:a16="http://schemas.microsoft.com/office/drawing/2014/main" id="{A8C88909-25B3-91B6-AAE3-647A7A30B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713421</xdr:colOff>
      <xdr:row>80</xdr:row>
      <xdr:rowOff>115252</xdr:rowOff>
    </xdr:from>
    <xdr:to>
      <xdr:col>20</xdr:col>
      <xdr:colOff>9524</xdr:colOff>
      <xdr:row>97</xdr:row>
      <xdr:rowOff>142875</xdr:rowOff>
    </xdr:to>
    <xdr:graphicFrame macro="">
      <xdr:nvGraphicFramePr>
        <xdr:cNvPr id="11" name="Chart 10">
          <a:extLst>
            <a:ext uri="{FF2B5EF4-FFF2-40B4-BE49-F238E27FC236}">
              <a16:creationId xmlns:a16="http://schemas.microsoft.com/office/drawing/2014/main" id="{7BC553A8-6E22-14CD-E245-EFC35BDCA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dav, Arvind 1" refreshedDate="45866.465581712961" createdVersion="8" refreshedVersion="8" minRefreshableVersion="3" recordCount="10" xr:uid="{F021842C-D867-4F71-AA1F-C54114DEC0CB}">
  <cacheSource type="worksheet">
    <worksheetSource ref="A1:E20" sheet="Application Defect"/>
  </cacheSource>
  <cacheFields count="5">
    <cacheField name=" Application" numFmtId="0">
      <sharedItems containsBlank="1" count="29">
        <s v="CLASS"/>
        <s v="CRM"/>
        <s v="DDGS"/>
        <s v="Decision Manager"/>
        <s v="ECM"/>
        <s v="Envoy"/>
        <s v="LCMS"/>
        <s v="mMortgage"/>
        <s v="TOTAL From All teams"/>
        <m/>
        <s v="522 Target" u="1"/>
        <s v="10487 LCMS (Lending Case Management System)" u="1"/>
        <s v="470 CLASS (CIBC Loan Approval and Servicing System )" u="1"/>
        <s v="8022 Decision Manager" u="1"/>
        <s v="9747 DDGS (Dynamic Document Generation System)" u="1"/>
        <s v="APIF" u="1"/>
        <s v="CAAP" u="1"/>
        <s v="Centralized Calculation Service (CCS)" u="1"/>
        <s v="ECIF" u="1"/>
        <s v="EDTS" u="1"/>
        <s v="GOW" u="1"/>
        <s v="LAS" u="1"/>
        <s v="Lending BI" u="1"/>
        <s v="API" u="1"/>
        <s v="EDH" u="1"/>
        <s v="EPC" u="1"/>
        <s v="Excalibur" u="1"/>
        <s v="Target" u="1"/>
        <s v="13407 CRM for Mobile Sales" u="1"/>
      </sharedItems>
    </cacheField>
    <cacheField name="Closed Defects" numFmtId="0">
      <sharedItems containsString="0" containsBlank="1" containsNumber="1" containsInteger="1" minValue="0" maxValue="123"/>
    </cacheField>
    <cacheField name="Newly Opened Today" numFmtId="0">
      <sharedItems containsString="0" containsBlank="1" containsNumber="1" containsInteger="1" minValue="0" maxValue="0"/>
    </cacheField>
    <cacheField name="Total Open Defect" numFmtId="0">
      <sharedItems containsString="0" containsBlank="1" containsNumber="1" containsInteger="1" minValue="0" maxValue="2"/>
    </cacheField>
    <cacheField name="Total Defect" numFmtId="0">
      <sharedItems containsString="0" containsBlank="1" containsNumber="1" containsInteger="1" minValue="1" maxValue="12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dav, Arvind 1" refreshedDate="45866.465608333332" createdVersion="8" refreshedVersion="8" minRefreshableVersion="3" recordCount="5" xr:uid="{0D3AD7E9-C800-4FB5-B283-EAD8E160AFB6}">
  <cacheSource type="worksheet">
    <worksheetSource ref="A1:B6" sheet="Defect Open"/>
  </cacheSource>
  <cacheFields count="2">
    <cacheField name="DAYS" numFmtId="0">
      <sharedItems containsMixedTypes="1" containsNumber="1" containsInteger="1" minValue="0" maxValue="0" count="5">
        <n v="0"/>
        <s v="1 to 2"/>
        <s v="3 to 5"/>
        <s v="6 to 10"/>
        <s v="more than 10"/>
      </sharedItems>
    </cacheField>
    <cacheField name="DEFECT_COUNT" numFmtId="0">
      <sharedItems containsSemiMixedTypes="0" containsString="0"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dav, Arvind 1" refreshedDate="45866.465636226851" createdVersion="8" refreshedVersion="8" minRefreshableVersion="3" recordCount="55" xr:uid="{EF523175-4494-411E-9CA9-74453BB2B906}">
  <cacheSource type="worksheet">
    <worksheetSource ref="A1:D1048576" sheet="Trend Defect Coverage"/>
  </cacheSource>
  <cacheFields count="6">
    <cacheField name="DATE" numFmtId="0">
      <sharedItems containsNonDate="0" containsDate="1" containsString="0" containsBlank="1" minDate="2024-09-10T00:00:00" maxDate="2025-07-29T00:00:00" count="170">
        <d v="2025-04-08T00:00:00"/>
        <d v="2025-04-09T00:00:00"/>
        <d v="2025-04-10T00:00:00"/>
        <d v="2025-04-11T00:00:00"/>
        <d v="2025-04-14T00:00:00"/>
        <d v="2025-04-16T00:00:00"/>
        <d v="2025-04-17T00:00:00"/>
        <d v="2025-04-18T00:00:00"/>
        <d v="2025-04-21T00:00:00"/>
        <d v="2025-04-22T00:00:00"/>
        <d v="2025-04-23T00:00:00"/>
        <d v="2025-04-24T00:00:00"/>
        <d v="2025-04-25T00:00:00"/>
        <d v="2025-04-28T00:00:00"/>
        <d v="2025-04-29T00:00:00"/>
        <d v="2025-04-30T00:00:00"/>
        <d v="2025-05-02T00:00:00"/>
        <d v="2025-05-05T00:00:00"/>
        <d v="2025-05-06T00:00:00"/>
        <d v="2025-05-07T00:00:00"/>
        <d v="2025-05-08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6-02T00:00:00"/>
        <d v="2025-06-03T00:00:00"/>
        <d v="2025-06-05T00:00:00"/>
        <d v="2025-06-11T00:00:00"/>
        <d v="2025-06-12T00:00:00"/>
        <d v="2025-06-13T00:00:00"/>
        <d v="2025-06-16T00:00:00"/>
        <d v="2025-06-17T00:00:00"/>
        <d v="2025-06-19T00:00:00"/>
        <d v="2025-06-23T00:00:00"/>
        <d v="2025-06-25T00:00:00"/>
        <d v="2025-06-27T00:00:00"/>
        <d v="2025-06-30T00:00:00"/>
        <d v="2025-07-03T00:00:00"/>
        <d v="2025-07-04T00:00:00"/>
        <d v="2025-07-07T00:00:00"/>
        <d v="2025-07-08T00:00:00"/>
        <d v="2025-07-09T00:00:00"/>
        <d v="2025-07-18T00:00:00"/>
        <m/>
        <d v="2025-07-22T00:00:00" u="1"/>
        <d v="2025-07-24T00:00:00" u="1"/>
        <d v="2025-07-28T00:00:00" u="1"/>
        <d v="2024-09-10T00:00:00" u="1"/>
        <d v="2024-09-11T00:00:00" u="1"/>
        <d v="2024-09-12T00:00:00" u="1"/>
        <d v="2024-09-17T00:00:00" u="1"/>
        <d v="2024-09-19T00:00:00" u="1"/>
        <d v="2024-09-20T00:00:00" u="1"/>
        <d v="2024-09-25T00:00:00" u="1"/>
        <d v="2024-09-30T00:00:00" u="1"/>
        <d v="2024-10-01T00:00:00" u="1"/>
        <d v="2024-10-03T00:00:00" u="1"/>
        <d v="2024-10-10T00:00:00" u="1"/>
        <d v="2025-01-15T00:00:00" u="1"/>
        <d v="2024-11-25T00:00:00" u="1"/>
        <d v="2024-11-29T00:00:00" u="1"/>
        <d v="2024-12-18T00:00:00" u="1"/>
        <d v="2025-01-20T00:00:00" u="1"/>
        <d v="2025-01-21T00:00:00" u="1"/>
        <d v="2025-01-22T00:00:00" u="1"/>
        <d v="2025-01-23T00:00:00" u="1"/>
        <d v="2025-01-24T00:00:00" u="1"/>
        <d v="2025-01-27T00:00:00" u="1"/>
        <d v="2025-01-28T00:00:00" u="1"/>
        <d v="2025-01-29T00:00:00" u="1"/>
        <d v="2025-01-30T00:00:00" u="1"/>
        <d v="2025-01-31T00:00:00" u="1"/>
        <d v="2025-02-03T00:00:00" u="1"/>
        <d v="2025-02-04T00:00:00" u="1"/>
        <d v="2025-02-05T00:00:00" u="1"/>
        <d v="2025-02-06T00:00:00" u="1"/>
        <d v="2025-02-07T00:00:00" u="1"/>
        <d v="2025-02-10T00:00:00" u="1"/>
        <d v="2025-02-11T00:00:00" u="1"/>
        <d v="2025-02-12T00:00:00" u="1"/>
        <d v="2025-02-13T00:00:00" u="1"/>
        <d v="2025-02-14T00:00:00" u="1"/>
        <d v="2025-02-17T00:00:00" u="1"/>
        <d v="2025-02-18T00:00:00" u="1"/>
        <d v="2025-02-19T00:00:00" u="1"/>
        <d v="2025-02-20T00:00:00" u="1"/>
        <d v="2025-02-21T00:00:00" u="1"/>
        <d v="2025-02-24T00:00:00" u="1"/>
        <d v="2025-02-25T00:00:00" u="1"/>
        <d v="2025-02-26T00:00:00" u="1"/>
        <d v="2025-02-27T00:00:00" u="1"/>
        <d v="2025-02-28T00:00:00" u="1"/>
        <d v="2025-03-03T00:00:00" u="1"/>
        <d v="2025-03-04T00:00:00" u="1"/>
        <d v="2025-03-05T00:00:00" u="1"/>
        <d v="2025-03-06T00:00:00" u="1"/>
        <d v="2025-03-07T00:00:00" u="1"/>
        <d v="2025-03-10T00:00:00" u="1"/>
        <d v="2025-03-11T00:00:00" u="1"/>
        <d v="2025-03-12T00:00:00" u="1"/>
        <d v="2025-03-13T00:00:00" u="1"/>
        <d v="2025-03-14T00:00:00" u="1"/>
        <d v="2025-03-17T00:00:00" u="1"/>
        <d v="2025-03-18T00:00:00" u="1"/>
        <d v="2025-03-19T00:00:00" u="1"/>
        <d v="2025-03-20T00:00:00" u="1"/>
        <d v="2025-03-21T00:00:00" u="1"/>
        <d v="2025-03-24T00:00:00" u="1"/>
        <d v="2025-03-25T00:00:00" u="1"/>
        <d v="2025-03-26T00:00:00" u="1"/>
        <d v="2025-03-27T00:00:00" u="1"/>
        <d v="2025-03-28T00:00:00" u="1"/>
        <d v="2025-03-29T00:00:00" u="1"/>
        <d v="2025-04-01T00:00:00" u="1"/>
        <d v="2025-04-02T00:00:00" u="1"/>
        <d v="2025-04-03T00:00:00" u="1"/>
        <d v="2025-04-04T00:00:00" u="1"/>
        <d v="2025-04-05T00:00:00" u="1"/>
        <d v="2025-04-07T00:00:00" u="1"/>
        <d v="2025-04-13T00:00:00" u="1"/>
        <d v="2025-04-15T00:00:00" u="1"/>
        <d v="2025-04-19T00:00:00" u="1"/>
        <d v="2025-05-09T00:00:00" u="1"/>
        <d v="2025-05-10T00:00:00" u="1"/>
        <d v="2025-05-24T00:00:00" u="1"/>
        <d v="2025-05-30T00:00:00" u="1"/>
        <d v="2025-06-04T00:00:00" u="1"/>
        <d v="2025-06-06T00:00:00" u="1"/>
        <d v="2025-06-09T00:00:00" u="1"/>
        <d v="2025-06-10T00:00:00" u="1"/>
        <d v="2025-06-18T00:00:00" u="1"/>
        <d v="2025-06-20T00:00:00" u="1"/>
        <d v="2025-06-24T00:00:00" u="1"/>
        <d v="2025-06-26T00:00:00" u="1"/>
        <d v="2025-07-01T00:00:00" u="1"/>
        <d v="2025-07-02T00:00:00" u="1"/>
        <d v="2025-07-10T00:00:00" u="1"/>
        <d v="2025-07-11T00:00:00" u="1"/>
        <d v="2025-07-14T00:00:00" u="1"/>
        <d v="2025-07-15T00:00:00" u="1"/>
        <d v="2024-12-17T00:00:00" u="1"/>
        <d v="2024-12-19T00:00:00" u="1"/>
        <d v="2024-12-20T00:00:00" u="1"/>
        <d v="2024-12-23T00:00:00" u="1"/>
        <d v="2024-12-24T00:00:00" u="1"/>
        <d v="2024-12-26T00:00:00" u="1"/>
        <d v="2024-12-27T00:00:00" u="1"/>
        <d v="2024-12-30T00:00:00" u="1"/>
        <d v="2024-12-31T00:00:00" u="1"/>
        <d v="2025-01-02T00:00:00" u="1"/>
        <d v="2025-01-17T00:00:00" u="1"/>
        <d v="2025-02-15T00:00:00" u="1"/>
        <d v="2025-02-22T00:00:00" u="1"/>
        <d v="2025-03-01T00:00:00" u="1"/>
        <d v="2025-03-31T00:00:00" u="1"/>
        <d v="2025-07-16T00:00:00" u="1"/>
        <d v="2025-07-17T00:00:00" u="1"/>
        <d v="2025-07-21T00:00:00" u="1"/>
        <d v="2025-07-23T00:00:00" u="1"/>
      </sharedItems>
      <fieldGroup par="5"/>
    </cacheField>
    <cacheField name="Total Open Defect" numFmtId="0">
      <sharedItems containsString="0" containsBlank="1" containsNumber="1" containsInteger="1" minValue="0" maxValue="1"/>
    </cacheField>
    <cacheField name="New Defect" numFmtId="0">
      <sharedItems containsString="0" containsBlank="1" containsNumber="1" containsInteger="1" minValue="1" maxValue="10"/>
    </cacheField>
    <cacheField name="Closed Defect" numFmtId="0">
      <sharedItems containsString="0" containsBlank="1" containsNumber="1" containsInteger="1" minValue="0" maxValue="10"/>
    </cacheField>
    <cacheField name="Days (DATE)" numFmtId="0" databaseField="0">
      <fieldGroup base="0">
        <rangePr groupBy="days" startDate="2025-04-08T00:00:00" endDate="2025-07-19T00:00:00"/>
        <groupItems count="368">
          <s v="&lt;4/8/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9/2025"/>
        </groupItems>
      </fieldGroup>
    </cacheField>
    <cacheField name="Months (DATE)" numFmtId="0" databaseField="0">
      <fieldGroup base="0">
        <rangePr groupBy="months" startDate="2025-04-08T00:00:00" endDate="2025-07-19T00:00:00"/>
        <groupItems count="14">
          <s v="&lt;4/8/2025"/>
          <s v="Jan"/>
          <s v="Feb"/>
          <s v="Mar"/>
          <s v="Apr"/>
          <s v="May"/>
          <s v="Jun"/>
          <s v="Jul"/>
          <s v="Aug"/>
          <s v="Sep"/>
          <s v="Oct"/>
          <s v="Nov"/>
          <s v="Dec"/>
          <s v="&gt;7/19/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dav, Arvind 1" refreshedDate="45866.465798032405" createdVersion="8" refreshedVersion="8" minRefreshableVersion="3" recordCount="62" xr:uid="{BF46F3FA-C71B-43DD-991D-D31609D43992}">
  <cacheSource type="worksheet">
    <worksheetSource ref="A1:E1048576" sheet="Trend Test Coverage"/>
  </cacheSource>
  <cacheFields count="7">
    <cacheField name="CYCLE" numFmtId="0">
      <sharedItems containsBlank="1" count="5">
        <s v="SIT Cycle 1"/>
        <s v="SIT Cycle 2"/>
        <s v="UAT Cycle 1"/>
        <s v="UAT Cycle 2"/>
        <m/>
      </sharedItems>
    </cacheField>
    <cacheField name="Status" numFmtId="0">
      <sharedItems containsBlank="1" count="2">
        <s v="Passed"/>
        <m/>
      </sharedItems>
    </cacheField>
    <cacheField name="EXECUTION_DATE" numFmtId="0">
      <sharedItems containsNonDate="0" containsDate="1" containsString="0" containsBlank="1" minDate="2025-04-10T00:00:00" maxDate="2025-07-10T00:00:00" count="61">
        <d v="2025-04-10T00:00:00"/>
        <d v="2025-04-14T00:00:00"/>
        <d v="2025-04-15T00:00:00"/>
        <d v="2025-04-17T00:00:00"/>
        <d v="2025-04-18T00:00:00"/>
        <d v="2025-04-22T00:00:00"/>
        <d v="2025-04-23T00:00:00"/>
        <d v="2025-04-25T00:00:00"/>
        <d v="2025-04-28T00:00:00"/>
        <d v="2025-04-29T00:00:00"/>
        <d v="2025-04-30T00:00:00"/>
        <d v="2025-05-02T00:00:00"/>
        <d v="2025-05-14T00:00:00"/>
        <d v="2025-05-05T00:00:00"/>
        <d v="2025-05-06T00:00:00"/>
        <d v="2025-05-07T00:00:00"/>
        <d v="2025-05-08T00:00:00"/>
        <d v="2025-05-09T00:00:00"/>
        <d v="2025-05-12T00:00:00"/>
        <d v="2025-05-13T00:00:00"/>
        <d v="2025-05-15T00:00:00"/>
        <d v="2025-05-16T00:00:00"/>
        <d v="2025-05-19T00:00:00"/>
        <d v="2025-05-20T00:00:00"/>
        <d v="2025-05-21T00:00:00"/>
        <d v="2025-05-22T00:00:00"/>
        <d v="2025-05-23T00:00:00"/>
        <d v="2025-05-26T00:00:00"/>
        <d v="2025-05-27T00:00:00"/>
        <d v="2025-05-28T00:00:00"/>
        <d v="2025-05-29T00:00:00"/>
        <d v="2025-05-30T00:00:00"/>
        <d v="2025-06-02T00:00:00"/>
        <d v="2025-06-03T00:00:00"/>
        <d v="2025-06-05T00:00:00"/>
        <d v="2025-06-06T00:00:00"/>
        <d v="2025-06-09T00:00:00"/>
        <d v="2025-06-10T00:00:00"/>
        <d v="2025-06-11T00:00:00"/>
        <d v="2025-06-12T00:00:00"/>
        <d v="2025-06-13T00:00:00"/>
        <d v="2025-06-16T00:00:00"/>
        <d v="2025-06-17T00:00:00"/>
        <d v="2025-06-18T00:00:00"/>
        <d v="2025-06-19T00:00:00"/>
        <d v="2025-06-20T00:00:00"/>
        <d v="2025-06-23T00:00:00"/>
        <d v="2025-06-24T00:00:00"/>
        <d v="2025-06-25T00:00:00"/>
        <d v="2025-06-26T00:00:00"/>
        <d v="2025-06-27T00:00:00"/>
        <d v="2025-06-29T00:00:00"/>
        <d v="2025-06-30T00:00:00"/>
        <d v="2025-07-01T00:00:00"/>
        <d v="2025-07-02T00:00:00"/>
        <d v="2025-07-03T00:00:00"/>
        <d v="2025-07-04T00:00:00"/>
        <d v="2025-07-07T00:00:00"/>
        <d v="2025-07-08T00:00:00"/>
        <d v="2025-07-09T00:00:00"/>
        <m/>
      </sharedItems>
      <fieldGroup par="6"/>
    </cacheField>
    <cacheField name="PENDING_TC" numFmtId="0">
      <sharedItems containsString="0" containsBlank="1" containsNumber="1" containsInteger="1" minValue="-24" maxValue="504"/>
    </cacheField>
    <cacheField name="PLANNED_TC" numFmtId="0">
      <sharedItems containsString="0" containsBlank="1" containsNumber="1" containsInteger="1" minValue="0" maxValue="510"/>
    </cacheField>
    <cacheField name="Days (EXECUTION_DATE)" numFmtId="0" databaseField="0">
      <fieldGroup base="2">
        <rangePr groupBy="days" startDate="2025-04-10T00:00:00" endDate="2025-07-10T00:00:00"/>
        <groupItems count="368">
          <s v="&lt;4/10/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0/2025"/>
        </groupItems>
      </fieldGroup>
    </cacheField>
    <cacheField name="Months (EXECUTION_DATE)" numFmtId="0" databaseField="0">
      <fieldGroup base="2">
        <rangePr groupBy="months" startDate="2025-04-10T00:00:00" endDate="2025-07-10T00:00:00"/>
        <groupItems count="14">
          <s v="&lt;4/10/2025"/>
          <s v="Jan"/>
          <s v="Feb"/>
          <s v="Mar"/>
          <s v="Apr"/>
          <s v="May"/>
          <s v="Jun"/>
          <s v="Jul"/>
          <s v="Aug"/>
          <s v="Sep"/>
          <s v="Oct"/>
          <s v="Nov"/>
          <s v="Dec"/>
          <s v="&gt;7/1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0"/>
    <n v="0"/>
    <n v="1"/>
    <n v="1"/>
  </r>
  <r>
    <x v="1"/>
    <n v="1"/>
    <n v="0"/>
    <n v="0"/>
    <n v="1"/>
  </r>
  <r>
    <x v="2"/>
    <n v="11"/>
    <n v="0"/>
    <n v="0"/>
    <n v="11"/>
  </r>
  <r>
    <x v="3"/>
    <n v="2"/>
    <n v="0"/>
    <n v="0"/>
    <n v="2"/>
  </r>
  <r>
    <x v="4"/>
    <n v="1"/>
    <n v="0"/>
    <n v="0"/>
    <n v="1"/>
  </r>
  <r>
    <x v="5"/>
    <n v="1"/>
    <n v="0"/>
    <n v="1"/>
    <n v="2"/>
  </r>
  <r>
    <x v="6"/>
    <n v="12"/>
    <n v="0"/>
    <n v="0"/>
    <n v="12"/>
  </r>
  <r>
    <x v="7"/>
    <n v="95"/>
    <n v="0"/>
    <n v="0"/>
    <n v="95"/>
  </r>
  <r>
    <x v="8"/>
    <n v="123"/>
    <n v="0"/>
    <n v="2"/>
    <n v="125"/>
  </r>
  <r>
    <x v="9"/>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
  </r>
  <r>
    <x v="1"/>
    <n v="0"/>
  </r>
  <r>
    <x v="2"/>
    <n v="0"/>
  </r>
  <r>
    <x v="3"/>
    <n v="0"/>
  </r>
  <r>
    <x v="4"/>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n v="0"/>
    <n v="1"/>
    <n v="1"/>
  </r>
  <r>
    <x v="1"/>
    <n v="0"/>
    <n v="10"/>
    <n v="10"/>
  </r>
  <r>
    <x v="2"/>
    <n v="0"/>
    <n v="5"/>
    <n v="5"/>
  </r>
  <r>
    <x v="3"/>
    <n v="0"/>
    <n v="4"/>
    <n v="4"/>
  </r>
  <r>
    <x v="4"/>
    <n v="0"/>
    <n v="3"/>
    <n v="3"/>
  </r>
  <r>
    <x v="5"/>
    <n v="0"/>
    <n v="5"/>
    <n v="5"/>
  </r>
  <r>
    <x v="6"/>
    <n v="0"/>
    <n v="1"/>
    <n v="1"/>
  </r>
  <r>
    <x v="7"/>
    <n v="0"/>
    <n v="1"/>
    <n v="1"/>
  </r>
  <r>
    <x v="8"/>
    <n v="0"/>
    <n v="1"/>
    <n v="1"/>
  </r>
  <r>
    <x v="9"/>
    <n v="0"/>
    <n v="2"/>
    <n v="2"/>
  </r>
  <r>
    <x v="10"/>
    <n v="0"/>
    <n v="3"/>
    <n v="3"/>
  </r>
  <r>
    <x v="11"/>
    <n v="0"/>
    <n v="3"/>
    <n v="3"/>
  </r>
  <r>
    <x v="12"/>
    <n v="0"/>
    <n v="6"/>
    <n v="6"/>
  </r>
  <r>
    <x v="13"/>
    <n v="0"/>
    <n v="3"/>
    <n v="3"/>
  </r>
  <r>
    <x v="14"/>
    <n v="0"/>
    <n v="2"/>
    <n v="2"/>
  </r>
  <r>
    <x v="15"/>
    <n v="0"/>
    <n v="2"/>
    <n v="2"/>
  </r>
  <r>
    <x v="16"/>
    <n v="0"/>
    <n v="1"/>
    <n v="1"/>
  </r>
  <r>
    <x v="17"/>
    <n v="0"/>
    <n v="2"/>
    <n v="2"/>
  </r>
  <r>
    <x v="18"/>
    <n v="0"/>
    <n v="4"/>
    <n v="4"/>
  </r>
  <r>
    <x v="19"/>
    <n v="0"/>
    <n v="2"/>
    <n v="2"/>
  </r>
  <r>
    <x v="20"/>
    <n v="0"/>
    <n v="2"/>
    <n v="2"/>
  </r>
  <r>
    <x v="21"/>
    <n v="0"/>
    <n v="1"/>
    <n v="1"/>
  </r>
  <r>
    <x v="22"/>
    <n v="0"/>
    <n v="5"/>
    <n v="5"/>
  </r>
  <r>
    <x v="23"/>
    <n v="0"/>
    <n v="2"/>
    <n v="2"/>
  </r>
  <r>
    <x v="24"/>
    <n v="0"/>
    <n v="3"/>
    <n v="3"/>
  </r>
  <r>
    <x v="25"/>
    <n v="0"/>
    <n v="1"/>
    <n v="1"/>
  </r>
  <r>
    <x v="26"/>
    <n v="0"/>
    <n v="1"/>
    <n v="1"/>
  </r>
  <r>
    <x v="27"/>
    <n v="0"/>
    <n v="4"/>
    <n v="4"/>
  </r>
  <r>
    <x v="28"/>
    <n v="0"/>
    <n v="3"/>
    <n v="3"/>
  </r>
  <r>
    <x v="29"/>
    <n v="0"/>
    <n v="4"/>
    <n v="4"/>
  </r>
  <r>
    <x v="30"/>
    <n v="0"/>
    <n v="2"/>
    <n v="2"/>
  </r>
  <r>
    <x v="31"/>
    <n v="0"/>
    <n v="1"/>
    <n v="1"/>
  </r>
  <r>
    <x v="32"/>
    <n v="0"/>
    <n v="3"/>
    <n v="3"/>
  </r>
  <r>
    <x v="33"/>
    <n v="0"/>
    <n v="2"/>
    <n v="2"/>
  </r>
  <r>
    <x v="34"/>
    <n v="0"/>
    <n v="2"/>
    <n v="2"/>
  </r>
  <r>
    <x v="35"/>
    <n v="1"/>
    <n v="1"/>
    <n v="0"/>
  </r>
  <r>
    <x v="36"/>
    <n v="0"/>
    <n v="2"/>
    <n v="2"/>
  </r>
  <r>
    <x v="37"/>
    <n v="0"/>
    <n v="3"/>
    <n v="3"/>
  </r>
  <r>
    <x v="38"/>
    <n v="0"/>
    <n v="1"/>
    <n v="1"/>
  </r>
  <r>
    <x v="39"/>
    <n v="0"/>
    <n v="2"/>
    <n v="2"/>
  </r>
  <r>
    <x v="40"/>
    <n v="0"/>
    <n v="1"/>
    <n v="1"/>
  </r>
  <r>
    <x v="41"/>
    <n v="0"/>
    <n v="1"/>
    <n v="1"/>
  </r>
  <r>
    <x v="42"/>
    <n v="0"/>
    <n v="1"/>
    <n v="1"/>
  </r>
  <r>
    <x v="43"/>
    <n v="0"/>
    <n v="3"/>
    <n v="3"/>
  </r>
  <r>
    <x v="44"/>
    <n v="0"/>
    <n v="1"/>
    <n v="1"/>
  </r>
  <r>
    <x v="45"/>
    <n v="0"/>
    <n v="1"/>
    <n v="1"/>
  </r>
  <r>
    <x v="46"/>
    <n v="0"/>
    <n v="2"/>
    <n v="2"/>
  </r>
  <r>
    <x v="47"/>
    <n v="0"/>
    <n v="1"/>
    <n v="1"/>
  </r>
  <r>
    <x v="48"/>
    <n v="0"/>
    <n v="1"/>
    <n v="1"/>
  </r>
  <r>
    <x v="49"/>
    <n v="0"/>
    <n v="1"/>
    <n v="1"/>
  </r>
  <r>
    <x v="50"/>
    <n v="0"/>
    <n v="1"/>
    <n v="1"/>
  </r>
  <r>
    <x v="51"/>
    <n v="0"/>
    <n v="3"/>
    <n v="3"/>
  </r>
  <r>
    <x v="52"/>
    <n v="0"/>
    <n v="1"/>
    <n v="1"/>
  </r>
  <r>
    <x v="53"/>
    <n v="1"/>
    <n v="1"/>
    <n v="0"/>
  </r>
  <r>
    <x v="54"/>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x v="0"/>
    <n v="396"/>
    <n v="406"/>
  </r>
  <r>
    <x v="0"/>
    <x v="0"/>
    <x v="1"/>
    <n v="372"/>
    <n v="389"/>
  </r>
  <r>
    <x v="0"/>
    <x v="0"/>
    <x v="2"/>
    <n v="365"/>
    <n v="377"/>
  </r>
  <r>
    <x v="0"/>
    <x v="0"/>
    <x v="3"/>
    <n v="367"/>
    <n v="372"/>
  </r>
  <r>
    <x v="0"/>
    <x v="0"/>
    <x v="4"/>
    <n v="358"/>
    <n v="365"/>
  </r>
  <r>
    <x v="0"/>
    <x v="0"/>
    <x v="5"/>
    <n v="341"/>
    <n v="353"/>
  </r>
  <r>
    <x v="0"/>
    <x v="0"/>
    <x v="6"/>
    <n v="351"/>
    <n v="352"/>
  </r>
  <r>
    <x v="0"/>
    <x v="0"/>
    <x v="7"/>
    <n v="350"/>
    <n v="351"/>
  </r>
  <r>
    <x v="0"/>
    <x v="0"/>
    <x v="8"/>
    <n v="319"/>
    <n v="335"/>
  </r>
  <r>
    <x v="0"/>
    <x v="0"/>
    <x v="9"/>
    <n v="289"/>
    <n v="312"/>
  </r>
  <r>
    <x v="0"/>
    <x v="0"/>
    <x v="10"/>
    <n v="280"/>
    <n v="296"/>
  </r>
  <r>
    <x v="0"/>
    <x v="0"/>
    <x v="11"/>
    <n v="246"/>
    <n v="271"/>
  </r>
  <r>
    <x v="0"/>
    <x v="0"/>
    <x v="12"/>
    <n v="155"/>
    <n v="213"/>
  </r>
  <r>
    <x v="1"/>
    <x v="0"/>
    <x v="13"/>
    <n v="500"/>
    <n v="510"/>
  </r>
  <r>
    <x v="1"/>
    <x v="0"/>
    <x v="14"/>
    <n v="504"/>
    <n v="507"/>
  </r>
  <r>
    <x v="1"/>
    <x v="0"/>
    <x v="15"/>
    <n v="451"/>
    <n v="479"/>
  </r>
  <r>
    <x v="1"/>
    <x v="0"/>
    <x v="16"/>
    <n v="403"/>
    <n v="441"/>
  </r>
  <r>
    <x v="1"/>
    <x v="0"/>
    <x v="17"/>
    <n v="363"/>
    <n v="402"/>
  </r>
  <r>
    <x v="1"/>
    <x v="0"/>
    <x v="18"/>
    <n v="314"/>
    <n v="358"/>
  </r>
  <r>
    <x v="1"/>
    <x v="0"/>
    <x v="19"/>
    <n v="304"/>
    <n v="331"/>
  </r>
  <r>
    <x v="1"/>
    <x v="0"/>
    <x v="12"/>
    <n v="279"/>
    <n v="305"/>
  </r>
  <r>
    <x v="1"/>
    <x v="0"/>
    <x v="20"/>
    <n v="277"/>
    <n v="291"/>
  </r>
  <r>
    <x v="1"/>
    <x v="0"/>
    <x v="21"/>
    <n v="265"/>
    <n v="278"/>
  </r>
  <r>
    <x v="1"/>
    <x v="0"/>
    <x v="22"/>
    <n v="264"/>
    <n v="271"/>
  </r>
  <r>
    <x v="1"/>
    <x v="0"/>
    <x v="23"/>
    <n v="233"/>
    <n v="252"/>
  </r>
  <r>
    <x v="1"/>
    <x v="0"/>
    <x v="24"/>
    <n v="196"/>
    <n v="224"/>
  </r>
  <r>
    <x v="1"/>
    <x v="0"/>
    <x v="25"/>
    <n v="188"/>
    <n v="206"/>
  </r>
  <r>
    <x v="1"/>
    <x v="0"/>
    <x v="26"/>
    <n v="130"/>
    <n v="168"/>
  </r>
  <r>
    <x v="1"/>
    <x v="0"/>
    <x v="27"/>
    <n v="60"/>
    <n v="114"/>
  </r>
  <r>
    <x v="1"/>
    <x v="0"/>
    <x v="28"/>
    <n v="58"/>
    <n v="86"/>
  </r>
  <r>
    <x v="1"/>
    <x v="0"/>
    <x v="29"/>
    <n v="16"/>
    <n v="51"/>
  </r>
  <r>
    <x v="1"/>
    <x v="0"/>
    <x v="30"/>
    <n v="31"/>
    <n v="41"/>
  </r>
  <r>
    <x v="1"/>
    <x v="0"/>
    <x v="31"/>
    <n v="5"/>
    <n v="23"/>
  </r>
  <r>
    <x v="1"/>
    <x v="0"/>
    <x v="32"/>
    <n v="11"/>
    <n v="17"/>
  </r>
  <r>
    <x v="1"/>
    <x v="0"/>
    <x v="33"/>
    <n v="-15"/>
    <n v="1"/>
  </r>
  <r>
    <x v="2"/>
    <x v="0"/>
    <x v="34"/>
    <n v="337"/>
    <n v="341"/>
  </r>
  <r>
    <x v="2"/>
    <x v="0"/>
    <x v="35"/>
    <n v="275"/>
    <n v="308"/>
  </r>
  <r>
    <x v="2"/>
    <x v="0"/>
    <x v="36"/>
    <n v="272"/>
    <n v="290"/>
  </r>
  <r>
    <x v="2"/>
    <x v="0"/>
    <x v="37"/>
    <n v="238"/>
    <n v="264"/>
  </r>
  <r>
    <x v="2"/>
    <x v="0"/>
    <x v="38"/>
    <n v="208"/>
    <n v="236"/>
  </r>
  <r>
    <x v="2"/>
    <x v="0"/>
    <x v="39"/>
    <n v="184"/>
    <n v="210"/>
  </r>
  <r>
    <x v="2"/>
    <x v="0"/>
    <x v="40"/>
    <n v="158"/>
    <n v="184"/>
  </r>
  <r>
    <x v="2"/>
    <x v="0"/>
    <x v="41"/>
    <n v="134"/>
    <n v="159"/>
  </r>
  <r>
    <x v="2"/>
    <x v="0"/>
    <x v="42"/>
    <n v="87"/>
    <n v="123"/>
  </r>
  <r>
    <x v="2"/>
    <x v="0"/>
    <x v="43"/>
    <n v="55"/>
    <n v="89"/>
  </r>
  <r>
    <x v="2"/>
    <x v="0"/>
    <x v="44"/>
    <n v="33"/>
    <n v="61"/>
  </r>
  <r>
    <x v="2"/>
    <x v="0"/>
    <x v="45"/>
    <n v="53"/>
    <n v="57"/>
  </r>
  <r>
    <x v="2"/>
    <x v="0"/>
    <x v="46"/>
    <n v="21"/>
    <n v="39"/>
  </r>
  <r>
    <x v="2"/>
    <x v="0"/>
    <x v="47"/>
    <n v="9"/>
    <n v="24"/>
  </r>
  <r>
    <x v="2"/>
    <x v="0"/>
    <x v="48"/>
    <n v="-24"/>
    <n v="0"/>
  </r>
  <r>
    <x v="3"/>
    <x v="0"/>
    <x v="49"/>
    <n v="133"/>
    <n v="146"/>
  </r>
  <r>
    <x v="3"/>
    <x v="0"/>
    <x v="50"/>
    <n v="134"/>
    <n v="140"/>
  </r>
  <r>
    <x v="3"/>
    <x v="0"/>
    <x v="51"/>
    <n v="104"/>
    <n v="122"/>
  </r>
  <r>
    <x v="3"/>
    <x v="0"/>
    <x v="52"/>
    <n v="84"/>
    <n v="103"/>
  </r>
  <r>
    <x v="3"/>
    <x v="0"/>
    <x v="53"/>
    <n v="69"/>
    <n v="86"/>
  </r>
  <r>
    <x v="3"/>
    <x v="0"/>
    <x v="54"/>
    <n v="52"/>
    <n v="69"/>
  </r>
  <r>
    <x v="3"/>
    <x v="0"/>
    <x v="55"/>
    <n v="41"/>
    <n v="55"/>
  </r>
  <r>
    <x v="3"/>
    <x v="0"/>
    <x v="56"/>
    <n v="33"/>
    <n v="44"/>
  </r>
  <r>
    <x v="3"/>
    <x v="0"/>
    <x v="57"/>
    <n v="-2"/>
    <n v="21"/>
  </r>
  <r>
    <x v="3"/>
    <x v="0"/>
    <x v="58"/>
    <n v="15"/>
    <n v="18"/>
  </r>
  <r>
    <x v="3"/>
    <x v="0"/>
    <x v="59"/>
    <n v="-18"/>
    <n v="0"/>
  </r>
  <r>
    <x v="4"/>
    <x v="1"/>
    <x v="6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9EE07E-7967-40E2-9012-B1824923E4AB}" name="PivotTable5" cacheId="8"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8">
  <location ref="HK9:HN18" firstHeaderRow="0" firstDataRow="1" firstDataCol="1"/>
  <pivotFields count="5">
    <pivotField axis="axisRow" showAll="0">
      <items count="30">
        <item x="0"/>
        <item x="1"/>
        <item x="2"/>
        <item x="3"/>
        <item x="4"/>
        <item x="5"/>
        <item x="6"/>
        <item x="7"/>
        <item h="1" x="8"/>
        <item h="1" x="9"/>
        <item m="1" x="28"/>
        <item m="1" x="18"/>
        <item m="1" x="27"/>
        <item m="1" x="23"/>
        <item m="1" x="24"/>
        <item m="1" x="25"/>
        <item m="1" x="26"/>
        <item m="1" x="11"/>
        <item m="1" x="12"/>
        <item m="1" x="13"/>
        <item m="1" x="14"/>
        <item m="1" x="15"/>
        <item m="1" x="16"/>
        <item m="1" x="17"/>
        <item m="1" x="19"/>
        <item m="1" x="20"/>
        <item m="1" x="21"/>
        <item m="1" x="22"/>
        <item m="1" x="10"/>
        <item t="default"/>
      </items>
    </pivotField>
    <pivotField dataField="1" showAll="0"/>
    <pivotField dataField="1" showAll="0"/>
    <pivotField dataField="1" showAll="0"/>
    <pivotField showAll="0"/>
  </pivotFields>
  <rowFields count="1">
    <field x="0"/>
  </rowFields>
  <rowItems count="9">
    <i>
      <x/>
    </i>
    <i>
      <x v="1"/>
    </i>
    <i>
      <x v="2"/>
    </i>
    <i>
      <x v="3"/>
    </i>
    <i>
      <x v="4"/>
    </i>
    <i>
      <x v="5"/>
    </i>
    <i>
      <x v="6"/>
    </i>
    <i>
      <x v="7"/>
    </i>
    <i t="grand">
      <x/>
    </i>
  </rowItems>
  <colFields count="1">
    <field x="-2"/>
  </colFields>
  <colItems count="3">
    <i>
      <x/>
    </i>
    <i i="1">
      <x v="1"/>
    </i>
    <i i="2">
      <x v="2"/>
    </i>
  </colItems>
  <dataFields count="3">
    <dataField name="Sum of Closed Defects" fld="1" baseField="0" baseItem="0"/>
    <dataField name="Sum of Newly Opened Today" fld="2" baseField="0" baseItem="0"/>
    <dataField name="Sum of Total Open Defect" fld="3" baseField="0" baseItem="0"/>
  </dataFields>
  <chartFormats count="3">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3031D4-1E62-4F75-8456-863C34D8C724}"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E10:GF16" firstHeaderRow="1" firstDataRow="1" firstDataCol="1"/>
  <pivotFields count="2">
    <pivotField axis="axisRow" showAll="0">
      <items count="6">
        <item x="0"/>
        <item x="1"/>
        <item x="2"/>
        <item x="3"/>
        <item x="4"/>
        <item t="default"/>
      </items>
    </pivotField>
    <pivotField dataField="1" showAll="0"/>
  </pivotFields>
  <rowFields count="1">
    <field x="0"/>
  </rowFields>
  <rowItems count="6">
    <i>
      <x/>
    </i>
    <i>
      <x v="1"/>
    </i>
    <i>
      <x v="2"/>
    </i>
    <i>
      <x v="3"/>
    </i>
    <i>
      <x v="4"/>
    </i>
    <i t="grand">
      <x/>
    </i>
  </rowItems>
  <colItems count="1">
    <i/>
  </colItems>
  <dataFields count="1">
    <dataField name="Sum of DEFECT_C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E30ABB-4A1E-408E-83C9-6CC90DD00F7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0">
  <location ref="FQ9:FT65" firstHeaderRow="0" firstDataRow="1" firstDataCol="1"/>
  <pivotFields count="6">
    <pivotField showAll="0">
      <items count="1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m="1" x="105"/>
        <item m="1" x="106"/>
        <item m="1" x="107"/>
        <item m="1" x="109"/>
        <item m="1" x="110"/>
        <item m="1" x="111"/>
        <item m="1" x="112"/>
        <item m="1" x="114"/>
        <item m="1" x="115"/>
        <item m="1" x="116"/>
        <item m="1" x="117"/>
        <item m="1" x="118"/>
        <item m="1" x="120"/>
        <item m="1" x="82"/>
        <item m="1" x="91"/>
        <item m="1" x="98"/>
        <item m="1" x="102"/>
        <item m="1" x="103"/>
        <item m="1" x="119"/>
        <item m="1" x="122"/>
        <item m="1" x="147"/>
        <item m="1" x="148"/>
        <item m="1" x="149"/>
        <item m="1" x="150"/>
        <item m="1" x="166"/>
        <item m="1" x="167"/>
        <item m="1" x="168"/>
        <item m="1" x="55"/>
        <item m="1" x="169"/>
        <item m="1" x="74"/>
        <item m="1" x="75"/>
        <item m="1" x="76"/>
        <item m="1" x="77"/>
        <item m="1" x="78"/>
        <item m="1" x="81"/>
        <item m="1" x="83"/>
        <item m="1" x="84"/>
        <item m="1" x="87"/>
        <item m="1" x="88"/>
        <item m="1" x="89"/>
        <item m="1" x="90"/>
        <item m="1" x="92"/>
        <item m="1" x="162"/>
        <item m="1" x="94"/>
        <item m="1" x="95"/>
        <item m="1" x="96"/>
        <item m="1" x="97"/>
        <item m="1" x="163"/>
        <item m="1" x="99"/>
        <item m="1" x="100"/>
        <item m="1" x="101"/>
        <item m="1" x="164"/>
        <item m="1" x="104"/>
        <item m="1" x="108"/>
        <item m="1" x="121"/>
        <item m="1" x="165"/>
        <item m="1" x="151"/>
        <item m="1" x="72"/>
        <item m="1" x="152"/>
        <item m="1" x="153"/>
        <item m="1" x="154"/>
        <item m="1" x="155"/>
        <item m="1" x="156"/>
        <item m="1" x="157"/>
        <item m="1" x="158"/>
        <item m="1" x="159"/>
        <item m="1" x="160"/>
        <item m="1" x="69"/>
        <item m="1" x="161"/>
        <item m="1" x="73"/>
        <item m="1" x="85"/>
        <item m="1" x="140"/>
        <item m="1" x="93"/>
        <item m="1" x="131"/>
        <item m="1" x="56"/>
        <item m="1" x="129"/>
        <item m="1" x="137"/>
        <item m="1" x="70"/>
        <item m="1" x="71"/>
        <item m="1" x="79"/>
        <item m="1" x="80"/>
        <item m="1" x="86"/>
        <item m="1" x="113"/>
        <item m="1" x="123"/>
        <item m="1" x="124"/>
        <item m="1" x="125"/>
        <item m="1" x="126"/>
        <item m="1" x="127"/>
        <item m="1" x="128"/>
        <item m="1" x="130"/>
        <item m="1" x="132"/>
        <item m="1" x="133"/>
        <item m="1" x="134"/>
        <item m="1" x="135"/>
        <item m="1" x="136"/>
        <item m="1" x="138"/>
        <item m="1" x="139"/>
        <item m="1" x="141"/>
        <item m="1" x="142"/>
        <item m="1" x="143"/>
        <item m="1" x="144"/>
        <item m="1" x="145"/>
        <item m="1" x="146"/>
        <item m="1" x="58"/>
        <item m="1" x="59"/>
        <item m="1" x="60"/>
        <item m="1" x="61"/>
        <item m="1" x="62"/>
        <item m="1" x="63"/>
        <item m="1" x="64"/>
        <item m="1" x="65"/>
        <item m="1" x="66"/>
        <item m="1" x="67"/>
        <item m="1" x="68"/>
        <item m="1" x="57"/>
        <item t="default"/>
      </items>
    </pivotField>
    <pivotField dataField="1" showAll="0"/>
    <pivotField dataField="1" showAll="0"/>
    <pivotField dataField="1"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6">
    <i>
      <x v="98"/>
    </i>
    <i>
      <x v="99"/>
    </i>
    <i>
      <x v="100"/>
    </i>
    <i>
      <x v="101"/>
    </i>
    <i>
      <x v="104"/>
    </i>
    <i>
      <x v="106"/>
    </i>
    <i>
      <x v="107"/>
    </i>
    <i>
      <x v="108"/>
    </i>
    <i>
      <x v="111"/>
    </i>
    <i>
      <x v="112"/>
    </i>
    <i>
      <x v="113"/>
    </i>
    <i>
      <x v="114"/>
    </i>
    <i>
      <x v="115"/>
    </i>
    <i>
      <x v="118"/>
    </i>
    <i>
      <x v="119"/>
    </i>
    <i>
      <x v="120"/>
    </i>
    <i>
      <x v="122"/>
    </i>
    <i>
      <x v="125"/>
    </i>
    <i>
      <x v="126"/>
    </i>
    <i>
      <x v="127"/>
    </i>
    <i>
      <x v="128"/>
    </i>
    <i>
      <x v="132"/>
    </i>
    <i>
      <x v="133"/>
    </i>
    <i>
      <x v="134"/>
    </i>
    <i>
      <x v="135"/>
    </i>
    <i>
      <x v="136"/>
    </i>
    <i>
      <x v="139"/>
    </i>
    <i>
      <x v="140"/>
    </i>
    <i>
      <x v="141"/>
    </i>
    <i>
      <x v="142"/>
    </i>
    <i>
      <x v="143"/>
    </i>
    <i>
      <x v="146"/>
    </i>
    <i>
      <x v="147"/>
    </i>
    <i>
      <x v="148"/>
    </i>
    <i>
      <x v="149"/>
    </i>
    <i>
      <x v="153"/>
    </i>
    <i>
      <x v="154"/>
    </i>
    <i>
      <x v="156"/>
    </i>
    <i>
      <x v="162"/>
    </i>
    <i>
      <x v="163"/>
    </i>
    <i>
      <x v="164"/>
    </i>
    <i>
      <x v="167"/>
    </i>
    <i>
      <x v="168"/>
    </i>
    <i>
      <x v="170"/>
    </i>
    <i>
      <x v="174"/>
    </i>
    <i>
      <x v="176"/>
    </i>
    <i>
      <x v="178"/>
    </i>
    <i>
      <x v="181"/>
    </i>
    <i>
      <x v="184"/>
    </i>
    <i>
      <x v="185"/>
    </i>
    <i>
      <x v="188"/>
    </i>
    <i>
      <x v="189"/>
    </i>
    <i>
      <x v="190"/>
    </i>
    <i>
      <x v="199"/>
    </i>
    <i>
      <x v="366"/>
    </i>
    <i t="grand">
      <x/>
    </i>
  </rowItems>
  <colFields count="1">
    <field x="-2"/>
  </colFields>
  <colItems count="3">
    <i>
      <x/>
    </i>
    <i i="1">
      <x v="1"/>
    </i>
    <i i="2">
      <x v="2"/>
    </i>
  </colItems>
  <dataFields count="3">
    <dataField name="Sum of Total Open Defect" fld="1" baseField="0" baseItem="0"/>
    <dataField name="Sum of Closed Defect" fld="3" baseField="0" baseItem="0"/>
    <dataField name="Sum of New Defect" fld="2" baseField="0" baseItem="0"/>
  </dataFields>
  <chartFormats count="26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2" series="1">
      <pivotArea type="data" outline="0" fieldPosition="0">
        <references count="1">
          <reference field="4294967294" count="1" selected="0">
            <x v="2"/>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2" series="1">
      <pivotArea type="data" outline="0" fieldPosition="0">
        <references count="1">
          <reference field="4294967294" count="1" selected="0">
            <x v="2"/>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2"/>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1" format="2" series="1">
      <pivotArea type="data" outline="0" fieldPosition="0">
        <references count="1">
          <reference field="4294967294" count="1" selected="0">
            <x v="2"/>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2"/>
          </reference>
        </references>
      </pivotArea>
    </chartFormat>
    <chartFormat chart="34"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1"/>
          </reference>
        </references>
      </pivotArea>
    </chartFormat>
    <chartFormat chart="34" format="2" series="1">
      <pivotArea type="data" outline="0" fieldPosition="0">
        <references count="1">
          <reference field="4294967294" count="1" selected="0">
            <x v="2"/>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5" format="2" series="1">
      <pivotArea type="data" outline="0" fieldPosition="0">
        <references count="1">
          <reference field="4294967294" count="1" selected="0">
            <x v="2"/>
          </reference>
        </references>
      </pivotArea>
    </chartFormat>
    <chartFormat chart="36"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1"/>
          </reference>
        </references>
      </pivotArea>
    </chartFormat>
    <chartFormat chart="36" format="2" series="1">
      <pivotArea type="data" outline="0" fieldPosition="0">
        <references count="1">
          <reference field="4294967294" count="1" selected="0">
            <x v="2"/>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7" format="2" series="1">
      <pivotArea type="data" outline="0" fieldPosition="0">
        <references count="1">
          <reference field="4294967294" count="1" selected="0">
            <x v="2"/>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38" format="2" series="1">
      <pivotArea type="data" outline="0" fieldPosition="0">
        <references count="1">
          <reference field="4294967294" count="1" selected="0">
            <x v="2"/>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39" format="2" series="1">
      <pivotArea type="data" outline="0" fieldPosition="0">
        <references count="1">
          <reference field="4294967294" count="1" selected="0">
            <x v="2"/>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0" format="2" series="1">
      <pivotArea type="data" outline="0" fieldPosition="0">
        <references count="1">
          <reference field="4294967294" count="1" selected="0">
            <x v="2"/>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1" format="2" series="1">
      <pivotArea type="data" outline="0" fieldPosition="0">
        <references count="1">
          <reference field="4294967294" count="1" selected="0">
            <x v="2"/>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2" format="2" series="1">
      <pivotArea type="data" outline="0" fieldPosition="0">
        <references count="1">
          <reference field="4294967294" count="1" selected="0">
            <x v="2"/>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43" format="2" series="1">
      <pivotArea type="data" outline="0" fieldPosition="0">
        <references count="1">
          <reference field="4294967294" count="1" selected="0">
            <x v="2"/>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4" format="2" series="1">
      <pivotArea type="data" outline="0" fieldPosition="0">
        <references count="1">
          <reference field="4294967294" count="1" selected="0">
            <x v="2"/>
          </reference>
        </references>
      </pivotArea>
    </chartFormat>
    <chartFormat chart="45"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1"/>
          </reference>
        </references>
      </pivotArea>
    </chartFormat>
    <chartFormat chart="45" format="2" series="1">
      <pivotArea type="data" outline="0" fieldPosition="0">
        <references count="1">
          <reference field="4294967294" count="1" selected="0">
            <x v="2"/>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6" format="2" series="1">
      <pivotArea type="data" outline="0" fieldPosition="0">
        <references count="1">
          <reference field="4294967294" count="1" selected="0">
            <x v="2"/>
          </reference>
        </references>
      </pivotArea>
    </chartFormat>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7" format="2" series="1">
      <pivotArea type="data" outline="0" fieldPosition="0">
        <references count="1">
          <reference field="4294967294" count="1" selected="0">
            <x v="2"/>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8" format="2" series="1">
      <pivotArea type="data" outline="0" fieldPosition="0">
        <references count="1">
          <reference field="4294967294" count="1" selected="0">
            <x v="2"/>
          </reference>
        </references>
      </pivotArea>
    </chartFormat>
    <chartFormat chart="49" format="0" series="1">
      <pivotArea type="data" outline="0" fieldPosition="0">
        <references count="1">
          <reference field="4294967294" count="1" selected="0">
            <x v="0"/>
          </reference>
        </references>
      </pivotArea>
    </chartFormat>
    <chartFormat chart="49" format="1" series="1">
      <pivotArea type="data" outline="0" fieldPosition="0">
        <references count="1">
          <reference field="4294967294" count="1" selected="0">
            <x v="1"/>
          </reference>
        </references>
      </pivotArea>
    </chartFormat>
    <chartFormat chart="49" format="2" series="1">
      <pivotArea type="data" outline="0" fieldPosition="0">
        <references count="1">
          <reference field="4294967294" count="1" selected="0">
            <x v="2"/>
          </reference>
        </references>
      </pivotArea>
    </chartFormat>
    <chartFormat chart="50"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1"/>
          </reference>
        </references>
      </pivotArea>
    </chartFormat>
    <chartFormat chart="50" format="2" series="1">
      <pivotArea type="data" outline="0" fieldPosition="0">
        <references count="1">
          <reference field="4294967294" count="1" selected="0">
            <x v="2"/>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1" format="2" series="1">
      <pivotArea type="data" outline="0" fieldPosition="0">
        <references count="1">
          <reference field="4294967294" count="1" selected="0">
            <x v="2"/>
          </reference>
        </references>
      </pivotArea>
    </chartFormat>
    <chartFormat chart="51" format="3">
      <pivotArea type="data" outline="0" fieldPosition="0">
        <references count="2">
          <reference field="4294967294" count="1" selected="0">
            <x v="2"/>
          </reference>
          <reference field="4" count="1" selected="0">
            <x v="99"/>
          </reference>
        </references>
      </pivotArea>
    </chartFormat>
    <chartFormat chart="52"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1"/>
          </reference>
        </references>
      </pivotArea>
    </chartFormat>
    <chartFormat chart="52" format="2" series="1">
      <pivotArea type="data" outline="0" fieldPosition="0">
        <references count="1">
          <reference field="4294967294" count="1" selected="0">
            <x v="2"/>
          </reference>
        </references>
      </pivotArea>
    </chartFormat>
    <chartFormat chart="52" format="3">
      <pivotArea type="data" outline="0" fieldPosition="0">
        <references count="2">
          <reference field="4294967294" count="1" selected="0">
            <x v="2"/>
          </reference>
          <reference field="4" count="1" selected="0">
            <x v="99"/>
          </reference>
        </references>
      </pivotArea>
    </chartFormat>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3" format="2" series="1">
      <pivotArea type="data" outline="0" fieldPosition="0">
        <references count="1">
          <reference field="4294967294" count="1" selected="0">
            <x v="2"/>
          </reference>
        </references>
      </pivotArea>
    </chartFormat>
    <chartFormat chart="53" format="3">
      <pivotArea type="data" outline="0" fieldPosition="0">
        <references count="2">
          <reference field="4294967294" count="1" selected="0">
            <x v="2"/>
          </reference>
          <reference field="4" count="1" selected="0">
            <x v="99"/>
          </reference>
        </references>
      </pivotArea>
    </chartFormat>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54" format="2" series="1">
      <pivotArea type="data" outline="0" fieldPosition="0">
        <references count="1">
          <reference field="4294967294" count="1" selected="0">
            <x v="2"/>
          </reference>
        </references>
      </pivotArea>
    </chartFormat>
    <chartFormat chart="54" format="3">
      <pivotArea type="data" outline="0" fieldPosition="0">
        <references count="2">
          <reference field="4294967294" count="1" selected="0">
            <x v="2"/>
          </reference>
          <reference field="4" count="1" selected="0">
            <x v="99"/>
          </reference>
        </references>
      </pivotArea>
    </chartFormat>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55" format="2" series="1">
      <pivotArea type="data" outline="0" fieldPosition="0">
        <references count="1">
          <reference field="4294967294" count="1" selected="0">
            <x v="2"/>
          </reference>
        </references>
      </pivotArea>
    </chartFormat>
    <chartFormat chart="55" format="3">
      <pivotArea type="data" outline="0" fieldPosition="0">
        <references count="2">
          <reference field="4294967294" count="1" selected="0">
            <x v="2"/>
          </reference>
          <reference field="4" count="1" selected="0">
            <x v="99"/>
          </reference>
        </references>
      </pivotArea>
    </chartFormat>
    <chartFormat chart="56" format="0" series="1">
      <pivotArea type="data" outline="0" fieldPosition="0">
        <references count="1">
          <reference field="4294967294" count="1" selected="0">
            <x v="0"/>
          </reference>
        </references>
      </pivotArea>
    </chartFormat>
    <chartFormat chart="56" format="1" series="1">
      <pivotArea type="data" outline="0" fieldPosition="0">
        <references count="1">
          <reference field="4294967294" count="1" selected="0">
            <x v="1"/>
          </reference>
        </references>
      </pivotArea>
    </chartFormat>
    <chartFormat chart="56" format="2" series="1">
      <pivotArea type="data" outline="0" fieldPosition="0">
        <references count="1">
          <reference field="4294967294" count="1" selected="0">
            <x v="2"/>
          </reference>
        </references>
      </pivotArea>
    </chartFormat>
    <chartFormat chart="56" format="3">
      <pivotArea type="data" outline="0" fieldPosition="0">
        <references count="2">
          <reference field="4294967294" count="1" selected="0">
            <x v="2"/>
          </reference>
          <reference field="4" count="1" selected="0">
            <x v="99"/>
          </reference>
        </references>
      </pivotArea>
    </chartFormat>
    <chartFormat chart="57"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1"/>
          </reference>
        </references>
      </pivotArea>
    </chartFormat>
    <chartFormat chart="57" format="2" series="1">
      <pivotArea type="data" outline="0" fieldPosition="0">
        <references count="1">
          <reference field="4294967294" count="1" selected="0">
            <x v="2"/>
          </reference>
        </references>
      </pivotArea>
    </chartFormat>
    <chartFormat chart="57" format="3">
      <pivotArea type="data" outline="0" fieldPosition="0">
        <references count="2">
          <reference field="4294967294" count="1" selected="0">
            <x v="2"/>
          </reference>
          <reference field="4" count="1" selected="0">
            <x v="99"/>
          </reference>
        </references>
      </pivotArea>
    </chartFormat>
    <chartFormat chart="58"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1"/>
          </reference>
        </references>
      </pivotArea>
    </chartFormat>
    <chartFormat chart="58" format="2" series="1">
      <pivotArea type="data" outline="0" fieldPosition="0">
        <references count="1">
          <reference field="4294967294" count="1" selected="0">
            <x v="2"/>
          </reference>
        </references>
      </pivotArea>
    </chartFormat>
    <chartFormat chart="58" format="3">
      <pivotArea type="data" outline="0" fieldPosition="0">
        <references count="2">
          <reference field="4294967294" count="1" selected="0">
            <x v="2"/>
          </reference>
          <reference field="4" count="1" selected="0">
            <x v="99"/>
          </reference>
        </references>
      </pivotArea>
    </chartFormat>
    <chartFormat chart="59" format="0" series="1">
      <pivotArea type="data" outline="0" fieldPosition="0">
        <references count="1">
          <reference field="4294967294" count="1" selected="0">
            <x v="0"/>
          </reference>
        </references>
      </pivotArea>
    </chartFormat>
    <chartFormat chart="59" format="1" series="1">
      <pivotArea type="data" outline="0" fieldPosition="0">
        <references count="1">
          <reference field="4294967294" count="1" selected="0">
            <x v="1"/>
          </reference>
        </references>
      </pivotArea>
    </chartFormat>
    <chartFormat chart="59" format="2" series="1">
      <pivotArea type="data" outline="0" fieldPosition="0">
        <references count="1">
          <reference field="4294967294" count="1" selected="0">
            <x v="2"/>
          </reference>
        </references>
      </pivotArea>
    </chartFormat>
    <chartFormat chart="59" format="3">
      <pivotArea type="data" outline="0" fieldPosition="0">
        <references count="2">
          <reference field="4294967294" count="1" selected="0">
            <x v="2"/>
          </reference>
          <reference field="4" count="1" selected="0">
            <x v="99"/>
          </reference>
        </references>
      </pivotArea>
    </chartFormat>
    <chartFormat chart="60"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1"/>
          </reference>
        </references>
      </pivotArea>
    </chartFormat>
    <chartFormat chart="60" format="2" series="1">
      <pivotArea type="data" outline="0" fieldPosition="0">
        <references count="1">
          <reference field="4294967294" count="1" selected="0">
            <x v="2"/>
          </reference>
        </references>
      </pivotArea>
    </chartFormat>
    <chartFormat chart="60" format="3">
      <pivotArea type="data" outline="0" fieldPosition="0">
        <references count="2">
          <reference field="4294967294" count="1" selected="0">
            <x v="2"/>
          </reference>
          <reference field="4" count="1" selected="0">
            <x v="99"/>
          </reference>
        </references>
      </pivotArea>
    </chartFormat>
    <chartFormat chart="61" format="0" series="1">
      <pivotArea type="data" outline="0" fieldPosition="0">
        <references count="1">
          <reference field="4294967294" count="1" selected="0">
            <x v="0"/>
          </reference>
        </references>
      </pivotArea>
    </chartFormat>
    <chartFormat chart="61" format="1" series="1">
      <pivotArea type="data" outline="0" fieldPosition="0">
        <references count="1">
          <reference field="4294967294" count="1" selected="0">
            <x v="1"/>
          </reference>
        </references>
      </pivotArea>
    </chartFormat>
    <chartFormat chart="61" format="2" series="1">
      <pivotArea type="data" outline="0" fieldPosition="0">
        <references count="1">
          <reference field="4294967294" count="1" selected="0">
            <x v="2"/>
          </reference>
        </references>
      </pivotArea>
    </chartFormat>
    <chartFormat chart="61" format="3">
      <pivotArea type="data" outline="0" fieldPosition="0">
        <references count="2">
          <reference field="4294967294" count="1" selected="0">
            <x v="2"/>
          </reference>
          <reference field="4" count="1" selected="0">
            <x v="99"/>
          </reference>
        </references>
      </pivotArea>
    </chartFormat>
    <chartFormat chart="62" format="0" series="1">
      <pivotArea type="data" outline="0" fieldPosition="0">
        <references count="1">
          <reference field="4294967294" count="1" selected="0">
            <x v="0"/>
          </reference>
        </references>
      </pivotArea>
    </chartFormat>
    <chartFormat chart="62" format="1" series="1">
      <pivotArea type="data" outline="0" fieldPosition="0">
        <references count="1">
          <reference field="4294967294" count="1" selected="0">
            <x v="1"/>
          </reference>
        </references>
      </pivotArea>
    </chartFormat>
    <chartFormat chart="62" format="2" series="1">
      <pivotArea type="data" outline="0" fieldPosition="0">
        <references count="1">
          <reference field="4294967294" count="1" selected="0">
            <x v="2"/>
          </reference>
        </references>
      </pivotArea>
    </chartFormat>
    <chartFormat chart="62" format="3">
      <pivotArea type="data" outline="0" fieldPosition="0">
        <references count="2">
          <reference field="4294967294" count="1" selected="0">
            <x v="2"/>
          </reference>
          <reference field="4" count="1" selected="0">
            <x v="99"/>
          </reference>
        </references>
      </pivotArea>
    </chartFormat>
    <chartFormat chart="63" format="0" series="1">
      <pivotArea type="data" outline="0" fieldPosition="0">
        <references count="1">
          <reference field="4294967294" count="1" selected="0">
            <x v="0"/>
          </reference>
        </references>
      </pivotArea>
    </chartFormat>
    <chartFormat chart="63" format="1" series="1">
      <pivotArea type="data" outline="0" fieldPosition="0">
        <references count="1">
          <reference field="4294967294" count="1" selected="0">
            <x v="1"/>
          </reference>
        </references>
      </pivotArea>
    </chartFormat>
    <chartFormat chart="63" format="2" series="1">
      <pivotArea type="data" outline="0" fieldPosition="0">
        <references count="1">
          <reference field="4294967294" count="1" selected="0">
            <x v="2"/>
          </reference>
        </references>
      </pivotArea>
    </chartFormat>
    <chartFormat chart="63" format="3">
      <pivotArea type="data" outline="0" fieldPosition="0">
        <references count="2">
          <reference field="4294967294" count="1" selected="0">
            <x v="2"/>
          </reference>
          <reference field="4" count="1" selected="0">
            <x v="99"/>
          </reference>
        </references>
      </pivotArea>
    </chartFormat>
    <chartFormat chart="64" format="0" series="1">
      <pivotArea type="data" outline="0" fieldPosition="0">
        <references count="1">
          <reference field="4294967294" count="1" selected="0">
            <x v="0"/>
          </reference>
        </references>
      </pivotArea>
    </chartFormat>
    <chartFormat chart="64" format="1" series="1">
      <pivotArea type="data" outline="0" fieldPosition="0">
        <references count="1">
          <reference field="4294967294" count="1" selected="0">
            <x v="1"/>
          </reference>
        </references>
      </pivotArea>
    </chartFormat>
    <chartFormat chart="64" format="2" series="1">
      <pivotArea type="data" outline="0" fieldPosition="0">
        <references count="1">
          <reference field="4294967294" count="1" selected="0">
            <x v="2"/>
          </reference>
        </references>
      </pivotArea>
    </chartFormat>
    <chartFormat chart="64" format="3">
      <pivotArea type="data" outline="0" fieldPosition="0">
        <references count="2">
          <reference field="4294967294" count="1" selected="0">
            <x v="2"/>
          </reference>
          <reference field="4" count="1" selected="0">
            <x v="99"/>
          </reference>
        </references>
      </pivotArea>
    </chartFormat>
    <chartFormat chart="65" format="0" series="1">
      <pivotArea type="data" outline="0" fieldPosition="0">
        <references count="1">
          <reference field="4294967294" count="1" selected="0">
            <x v="0"/>
          </reference>
        </references>
      </pivotArea>
    </chartFormat>
    <chartFormat chart="65" format="1" series="1">
      <pivotArea type="data" outline="0" fieldPosition="0">
        <references count="1">
          <reference field="4294967294" count="1" selected="0">
            <x v="1"/>
          </reference>
        </references>
      </pivotArea>
    </chartFormat>
    <chartFormat chart="65" format="2" series="1">
      <pivotArea type="data" outline="0" fieldPosition="0">
        <references count="1">
          <reference field="4294967294" count="1" selected="0">
            <x v="2"/>
          </reference>
        </references>
      </pivotArea>
    </chartFormat>
    <chartFormat chart="65" format="3">
      <pivotArea type="data" outline="0" fieldPosition="0">
        <references count="2">
          <reference field="4294967294" count="1" selected="0">
            <x v="2"/>
          </reference>
          <reference field="4" count="1" selected="0">
            <x v="99"/>
          </reference>
        </references>
      </pivotArea>
    </chartFormat>
    <chartFormat chart="66" format="0" series="1">
      <pivotArea type="data" outline="0" fieldPosition="0">
        <references count="1">
          <reference field="4294967294" count="1" selected="0">
            <x v="0"/>
          </reference>
        </references>
      </pivotArea>
    </chartFormat>
    <chartFormat chart="66" format="1" series="1">
      <pivotArea type="data" outline="0" fieldPosition="0">
        <references count="1">
          <reference field="4294967294" count="1" selected="0">
            <x v="1"/>
          </reference>
        </references>
      </pivotArea>
    </chartFormat>
    <chartFormat chart="66" format="2" series="1">
      <pivotArea type="data" outline="0" fieldPosition="0">
        <references count="1">
          <reference field="4294967294" count="1" selected="0">
            <x v="2"/>
          </reference>
        </references>
      </pivotArea>
    </chartFormat>
    <chartFormat chart="66" format="3">
      <pivotArea type="data" outline="0" fieldPosition="0">
        <references count="2">
          <reference field="4294967294" count="1" selected="0">
            <x v="2"/>
          </reference>
          <reference field="4" count="1" selected="0">
            <x v="99"/>
          </reference>
        </references>
      </pivotArea>
    </chartFormat>
    <chartFormat chart="67"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1"/>
          </reference>
        </references>
      </pivotArea>
    </chartFormat>
    <chartFormat chart="67" format="2" series="1">
      <pivotArea type="data" outline="0" fieldPosition="0">
        <references count="1">
          <reference field="4294967294" count="1" selected="0">
            <x v="2"/>
          </reference>
        </references>
      </pivotArea>
    </chartFormat>
    <chartFormat chart="67" format="3">
      <pivotArea type="data" outline="0" fieldPosition="0">
        <references count="2">
          <reference field="4294967294" count="1" selected="0">
            <x v="2"/>
          </reference>
          <reference field="4" count="1" selected="0">
            <x v="99"/>
          </reference>
        </references>
      </pivotArea>
    </chartFormat>
    <chartFormat chart="68" format="0" series="1">
      <pivotArea type="data" outline="0" fieldPosition="0">
        <references count="1">
          <reference field="4294967294" count="1" selected="0">
            <x v="0"/>
          </reference>
        </references>
      </pivotArea>
    </chartFormat>
    <chartFormat chart="68" format="1" series="1">
      <pivotArea type="data" outline="0" fieldPosition="0">
        <references count="1">
          <reference field="4294967294" count="1" selected="0">
            <x v="1"/>
          </reference>
        </references>
      </pivotArea>
    </chartFormat>
    <chartFormat chart="68" format="2" series="1">
      <pivotArea type="data" outline="0" fieldPosition="0">
        <references count="1">
          <reference field="4294967294" count="1" selected="0">
            <x v="2"/>
          </reference>
        </references>
      </pivotArea>
    </chartFormat>
    <chartFormat chart="68" format="3">
      <pivotArea type="data" outline="0" fieldPosition="0">
        <references count="2">
          <reference field="4294967294" count="1" selected="0">
            <x v="2"/>
          </reference>
          <reference field="4" count="1" selected="0">
            <x v="99"/>
          </reference>
        </references>
      </pivotArea>
    </chartFormat>
    <chartFormat chart="69" format="0" series="1">
      <pivotArea type="data" outline="0" fieldPosition="0">
        <references count="1">
          <reference field="4294967294" count="1" selected="0">
            <x v="0"/>
          </reference>
        </references>
      </pivotArea>
    </chartFormat>
    <chartFormat chart="69" format="1" series="1">
      <pivotArea type="data" outline="0" fieldPosition="0">
        <references count="1">
          <reference field="4294967294" count="1" selected="0">
            <x v="1"/>
          </reference>
        </references>
      </pivotArea>
    </chartFormat>
    <chartFormat chart="69" format="2" series="1">
      <pivotArea type="data" outline="0" fieldPosition="0">
        <references count="1">
          <reference field="4294967294" count="1" selected="0">
            <x v="2"/>
          </reference>
        </references>
      </pivotArea>
    </chartFormat>
    <chartFormat chart="69" format="3">
      <pivotArea type="data" outline="0" fieldPosition="0">
        <references count="2">
          <reference field="4294967294" count="1" selected="0">
            <x v="2"/>
          </reference>
          <reference field="4" count="1" selected="0">
            <x v="99"/>
          </reference>
        </references>
      </pivotArea>
    </chartFormat>
    <chartFormat chart="70" format="0"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1"/>
          </reference>
        </references>
      </pivotArea>
    </chartFormat>
    <chartFormat chart="70" format="2" series="1">
      <pivotArea type="data" outline="0" fieldPosition="0">
        <references count="1">
          <reference field="4294967294" count="1" selected="0">
            <x v="2"/>
          </reference>
        </references>
      </pivotArea>
    </chartFormat>
    <chartFormat chart="70" format="3">
      <pivotArea type="data" outline="0" fieldPosition="0">
        <references count="2">
          <reference field="4294967294" count="1" selected="0">
            <x v="2"/>
          </reference>
          <reference field="4" count="1" selected="0">
            <x v="99"/>
          </reference>
        </references>
      </pivotArea>
    </chartFormat>
    <chartFormat chart="71" format="0" series="1">
      <pivotArea type="data" outline="0" fieldPosition="0">
        <references count="1">
          <reference field="4294967294" count="1" selected="0">
            <x v="0"/>
          </reference>
        </references>
      </pivotArea>
    </chartFormat>
    <chartFormat chart="71" format="1" series="1">
      <pivotArea type="data" outline="0" fieldPosition="0">
        <references count="1">
          <reference field="4294967294" count="1" selected="0">
            <x v="1"/>
          </reference>
        </references>
      </pivotArea>
    </chartFormat>
    <chartFormat chart="71" format="2" series="1">
      <pivotArea type="data" outline="0" fieldPosition="0">
        <references count="1">
          <reference field="4294967294" count="1" selected="0">
            <x v="2"/>
          </reference>
        </references>
      </pivotArea>
    </chartFormat>
    <chartFormat chart="71" format="3">
      <pivotArea type="data" outline="0" fieldPosition="0">
        <references count="2">
          <reference field="4294967294" count="1" selected="0">
            <x v="2"/>
          </reference>
          <reference field="4" count="1" selected="0">
            <x v="99"/>
          </reference>
        </references>
      </pivotArea>
    </chartFormat>
    <chartFormat chart="72" format="0" series="1">
      <pivotArea type="data" outline="0" fieldPosition="0">
        <references count="1">
          <reference field="4294967294" count="1" selected="0">
            <x v="0"/>
          </reference>
        </references>
      </pivotArea>
    </chartFormat>
    <chartFormat chart="72" format="1" series="1">
      <pivotArea type="data" outline="0" fieldPosition="0">
        <references count="1">
          <reference field="4294967294" count="1" selected="0">
            <x v="1"/>
          </reference>
        </references>
      </pivotArea>
    </chartFormat>
    <chartFormat chart="72" format="2" series="1">
      <pivotArea type="data" outline="0" fieldPosition="0">
        <references count="1">
          <reference field="4294967294" count="1" selected="0">
            <x v="2"/>
          </reference>
        </references>
      </pivotArea>
    </chartFormat>
    <chartFormat chart="72" format="3">
      <pivotArea type="data" outline="0" fieldPosition="0">
        <references count="2">
          <reference field="4294967294" count="1" selected="0">
            <x v="2"/>
          </reference>
          <reference field="4" count="1" selected="0">
            <x v="99"/>
          </reference>
        </references>
      </pivotArea>
    </chartFormat>
    <chartFormat chart="73" format="0" series="1">
      <pivotArea type="data" outline="0" fieldPosition="0">
        <references count="1">
          <reference field="4294967294" count="1" selected="0">
            <x v="0"/>
          </reference>
        </references>
      </pivotArea>
    </chartFormat>
    <chartFormat chart="73" format="1" series="1">
      <pivotArea type="data" outline="0" fieldPosition="0">
        <references count="1">
          <reference field="4294967294" count="1" selected="0">
            <x v="1"/>
          </reference>
        </references>
      </pivotArea>
    </chartFormat>
    <chartFormat chart="73" format="2" series="1">
      <pivotArea type="data" outline="0" fieldPosition="0">
        <references count="1">
          <reference field="4294967294" count="1" selected="0">
            <x v="2"/>
          </reference>
        </references>
      </pivotArea>
    </chartFormat>
    <chartFormat chart="73" format="3">
      <pivotArea type="data" outline="0" fieldPosition="0">
        <references count="2">
          <reference field="4294967294" count="1" selected="0">
            <x v="2"/>
          </reference>
          <reference field="4" count="1" selected="0">
            <x v="99"/>
          </reference>
        </references>
      </pivotArea>
    </chartFormat>
    <chartFormat chart="74" format="0" series="1">
      <pivotArea type="data" outline="0" fieldPosition="0">
        <references count="1">
          <reference field="4294967294" count="1" selected="0">
            <x v="0"/>
          </reference>
        </references>
      </pivotArea>
    </chartFormat>
    <chartFormat chart="74" format="1" series="1">
      <pivotArea type="data" outline="0" fieldPosition="0">
        <references count="1">
          <reference field="4294967294" count="1" selected="0">
            <x v="1"/>
          </reference>
        </references>
      </pivotArea>
    </chartFormat>
    <chartFormat chart="74" format="2" series="1">
      <pivotArea type="data" outline="0" fieldPosition="0">
        <references count="1">
          <reference field="4294967294" count="1" selected="0">
            <x v="2"/>
          </reference>
        </references>
      </pivotArea>
    </chartFormat>
    <chartFormat chart="74" format="3">
      <pivotArea type="data" outline="0" fieldPosition="0">
        <references count="2">
          <reference field="4294967294" count="1" selected="0">
            <x v="2"/>
          </reference>
          <reference field="4" count="1" selected="0">
            <x v="99"/>
          </reference>
        </references>
      </pivotArea>
    </chartFormat>
    <chartFormat chart="75" format="0" series="1">
      <pivotArea type="data" outline="0" fieldPosition="0">
        <references count="1">
          <reference field="4294967294" count="1" selected="0">
            <x v="0"/>
          </reference>
        </references>
      </pivotArea>
    </chartFormat>
    <chartFormat chart="75" format="1" series="1">
      <pivotArea type="data" outline="0" fieldPosition="0">
        <references count="1">
          <reference field="4294967294" count="1" selected="0">
            <x v="1"/>
          </reference>
        </references>
      </pivotArea>
    </chartFormat>
    <chartFormat chart="75" format="2" series="1">
      <pivotArea type="data" outline="0" fieldPosition="0">
        <references count="1">
          <reference field="4294967294" count="1" selected="0">
            <x v="2"/>
          </reference>
        </references>
      </pivotArea>
    </chartFormat>
    <chartFormat chart="75" format="3">
      <pivotArea type="data" outline="0" fieldPosition="0">
        <references count="2">
          <reference field="4294967294" count="1" selected="0">
            <x v="2"/>
          </reference>
          <reference field="4" count="1" selected="0">
            <x v="99"/>
          </reference>
        </references>
      </pivotArea>
    </chartFormat>
    <chartFormat chart="76" format="0" series="1">
      <pivotArea type="data" outline="0" fieldPosition="0">
        <references count="1">
          <reference field="4294967294" count="1" selected="0">
            <x v="0"/>
          </reference>
        </references>
      </pivotArea>
    </chartFormat>
    <chartFormat chart="76" format="1" series="1">
      <pivotArea type="data" outline="0" fieldPosition="0">
        <references count="1">
          <reference field="4294967294" count="1" selected="0">
            <x v="1"/>
          </reference>
        </references>
      </pivotArea>
    </chartFormat>
    <chartFormat chart="76" format="2" series="1">
      <pivotArea type="data" outline="0" fieldPosition="0">
        <references count="1">
          <reference field="4294967294" count="1" selected="0">
            <x v="2"/>
          </reference>
        </references>
      </pivotArea>
    </chartFormat>
    <chartFormat chart="76" format="3">
      <pivotArea type="data" outline="0" fieldPosition="0">
        <references count="2">
          <reference field="4294967294" count="1" selected="0">
            <x v="2"/>
          </reference>
          <reference field="4" count="1" selected="0">
            <x v="99"/>
          </reference>
        </references>
      </pivotArea>
    </chartFormat>
    <chartFormat chart="77" format="0" series="1">
      <pivotArea type="data" outline="0" fieldPosition="0">
        <references count="1">
          <reference field="4294967294" count="1" selected="0">
            <x v="0"/>
          </reference>
        </references>
      </pivotArea>
    </chartFormat>
    <chartFormat chart="77" format="1" series="1">
      <pivotArea type="data" outline="0" fieldPosition="0">
        <references count="1">
          <reference field="4294967294" count="1" selected="0">
            <x v="1"/>
          </reference>
        </references>
      </pivotArea>
    </chartFormat>
    <chartFormat chart="77" format="2" series="1">
      <pivotArea type="data" outline="0" fieldPosition="0">
        <references count="1">
          <reference field="4294967294" count="1" selected="0">
            <x v="2"/>
          </reference>
        </references>
      </pivotArea>
    </chartFormat>
    <chartFormat chart="77" format="3">
      <pivotArea type="data" outline="0" fieldPosition="0">
        <references count="2">
          <reference field="4294967294" count="1" selected="0">
            <x v="2"/>
          </reference>
          <reference field="4" count="1" selected="0">
            <x v="99"/>
          </reference>
        </references>
      </pivotArea>
    </chartFormat>
    <chartFormat chart="78" format="0" series="1">
      <pivotArea type="data" outline="0" fieldPosition="0">
        <references count="1">
          <reference field="4294967294" count="1" selected="0">
            <x v="0"/>
          </reference>
        </references>
      </pivotArea>
    </chartFormat>
    <chartFormat chart="78" format="1" series="1">
      <pivotArea type="data" outline="0" fieldPosition="0">
        <references count="1">
          <reference field="4294967294" count="1" selected="0">
            <x v="1"/>
          </reference>
        </references>
      </pivotArea>
    </chartFormat>
    <chartFormat chart="78" format="2" series="1">
      <pivotArea type="data" outline="0" fieldPosition="0">
        <references count="1">
          <reference field="4294967294" count="1" selected="0">
            <x v="2"/>
          </reference>
        </references>
      </pivotArea>
    </chartFormat>
    <chartFormat chart="78" format="3">
      <pivotArea type="data" outline="0" fieldPosition="0">
        <references count="2">
          <reference field="4294967294" count="1" selected="0">
            <x v="2"/>
          </reference>
          <reference field="4" count="1" selected="0">
            <x v="99"/>
          </reference>
        </references>
      </pivotArea>
    </chartFormat>
    <chartFormat chart="79"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1"/>
          </reference>
        </references>
      </pivotArea>
    </chartFormat>
    <chartFormat chart="79" format="2" series="1">
      <pivotArea type="data" outline="0" fieldPosition="0">
        <references count="1">
          <reference field="4294967294" count="1" selected="0">
            <x v="2"/>
          </reference>
        </references>
      </pivotArea>
    </chartFormat>
    <chartFormat chart="79" format="3">
      <pivotArea type="data" outline="0" fieldPosition="0">
        <references count="2">
          <reference field="4294967294" count="1" selected="0">
            <x v="2"/>
          </reference>
          <reference field="4" count="1" selected="0">
            <x v="99"/>
          </reference>
        </references>
      </pivotArea>
    </chartFormat>
    <chartFormat chart="80" format="0" series="1">
      <pivotArea type="data" outline="0" fieldPosition="0">
        <references count="1">
          <reference field="4294967294" count="1" selected="0">
            <x v="0"/>
          </reference>
        </references>
      </pivotArea>
    </chartFormat>
    <chartFormat chart="80" format="1" series="1">
      <pivotArea type="data" outline="0" fieldPosition="0">
        <references count="1">
          <reference field="4294967294" count="1" selected="0">
            <x v="1"/>
          </reference>
        </references>
      </pivotArea>
    </chartFormat>
    <chartFormat chart="80" format="2" series="1">
      <pivotArea type="data" outline="0" fieldPosition="0">
        <references count="1">
          <reference field="4294967294" count="1" selected="0">
            <x v="2"/>
          </reference>
        </references>
      </pivotArea>
    </chartFormat>
    <chartFormat chart="80" format="3">
      <pivotArea type="data" outline="0" fieldPosition="0">
        <references count="2">
          <reference field="4294967294" count="1" selected="0">
            <x v="2"/>
          </reference>
          <reference field="4" count="1" selected="0">
            <x v="99"/>
          </reference>
        </references>
      </pivotArea>
    </chartFormat>
    <chartFormat chart="81" format="0" series="1">
      <pivotArea type="data" outline="0" fieldPosition="0">
        <references count="1">
          <reference field="4294967294" count="1" selected="0">
            <x v="0"/>
          </reference>
        </references>
      </pivotArea>
    </chartFormat>
    <chartFormat chart="81" format="1" series="1">
      <pivotArea type="data" outline="0" fieldPosition="0">
        <references count="1">
          <reference field="4294967294" count="1" selected="0">
            <x v="1"/>
          </reference>
        </references>
      </pivotArea>
    </chartFormat>
    <chartFormat chart="81" format="2" series="1">
      <pivotArea type="data" outline="0" fieldPosition="0">
        <references count="1">
          <reference field="4294967294" count="1" selected="0">
            <x v="2"/>
          </reference>
        </references>
      </pivotArea>
    </chartFormat>
    <chartFormat chart="81" format="3">
      <pivotArea type="data" outline="0" fieldPosition="0">
        <references count="2">
          <reference field="4294967294" count="1" selected="0">
            <x v="2"/>
          </reference>
          <reference field="4" count="1" selected="0">
            <x v="99"/>
          </reference>
        </references>
      </pivotArea>
    </chartFormat>
    <chartFormat chart="83" format="0" series="1">
      <pivotArea type="data" outline="0" fieldPosition="0">
        <references count="1">
          <reference field="4294967294" count="1" selected="0">
            <x v="0"/>
          </reference>
        </references>
      </pivotArea>
    </chartFormat>
    <chartFormat chart="83" format="1" series="1">
      <pivotArea type="data" outline="0" fieldPosition="0">
        <references count="1">
          <reference field="4294967294" count="1" selected="0">
            <x v="1"/>
          </reference>
        </references>
      </pivotArea>
    </chartFormat>
    <chartFormat chart="8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0D96D1-0608-473E-9BCA-8FF775B98F93}" name="TrendTable"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EY9:FA31" firstHeaderRow="0" firstDataRow="1" firstDataCol="1" rowPageCount="2" colPageCount="1"/>
  <pivotFields count="7">
    <pivotField axis="axisPage" showAll="0">
      <items count="6">
        <item x="0"/>
        <item x="1"/>
        <item x="2"/>
        <item x="3"/>
        <item x="4"/>
        <item t="default"/>
      </items>
    </pivotField>
    <pivotField axis="axisPage" showAll="0">
      <items count="3">
        <item x="0"/>
        <item x="1"/>
        <item t="default"/>
      </items>
    </pivotField>
    <pivotField showAll="0">
      <items count="62">
        <item x="0"/>
        <item x="1"/>
        <item x="2"/>
        <item x="3"/>
        <item x="4"/>
        <item x="5"/>
        <item x="6"/>
        <item x="7"/>
        <item x="8"/>
        <item x="9"/>
        <item x="10"/>
        <item x="11"/>
        <item x="13"/>
        <item x="14"/>
        <item x="15"/>
        <item x="16"/>
        <item x="17"/>
        <item x="18"/>
        <item x="19"/>
        <item x="12"/>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dataField="1" showAll="0"/>
    <pivotField dataField="1" showAll="0"/>
    <pivotField axis="axisRow"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22">
    <i>
      <x v="125"/>
    </i>
    <i>
      <x v="126"/>
    </i>
    <i>
      <x v="127"/>
    </i>
    <i>
      <x v="128"/>
    </i>
    <i>
      <x v="129"/>
    </i>
    <i>
      <x v="132"/>
    </i>
    <i>
      <x v="133"/>
    </i>
    <i>
      <x v="134"/>
    </i>
    <i>
      <x v="135"/>
    </i>
    <i>
      <x v="136"/>
    </i>
    <i>
      <x v="139"/>
    </i>
    <i>
      <x v="140"/>
    </i>
    <i>
      <x v="141"/>
    </i>
    <i>
      <x v="142"/>
    </i>
    <i>
      <x v="143"/>
    </i>
    <i>
      <x v="146"/>
    </i>
    <i>
      <x v="147"/>
    </i>
    <i>
      <x v="148"/>
    </i>
    <i>
      <x v="149"/>
    </i>
    <i>
      <x v="150"/>
    </i>
    <i>
      <x v="153"/>
    </i>
    <i>
      <x v="154"/>
    </i>
  </rowItems>
  <colFields count="1">
    <field x="-2"/>
  </colFields>
  <colItems count="2">
    <i>
      <x/>
    </i>
    <i i="1">
      <x v="1"/>
    </i>
  </colItems>
  <pageFields count="2">
    <pageField fld="1" item="0" hier="-1"/>
    <pageField fld="0" item="1" hier="-1"/>
  </pageFields>
  <dataFields count="2">
    <dataField name="Sum of PENDING_TC" fld="3" baseField="0" baseItem="0"/>
    <dataField name="Sum of PLANNED_TC" fld="4" baseField="0" baseItem="0"/>
  </dataFields>
  <chartFormats count="2">
    <chartFormat chart="0" format="55" series="1">
      <pivotArea type="data" outline="0" fieldPosition="0">
        <references count="1">
          <reference field="4294967294" count="1" selected="0">
            <x v="0"/>
          </reference>
        </references>
      </pivotArea>
    </chartFormat>
    <chartFormat chart="0" format="5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13</v>
    <v>0</v>
  </rv>
  <rv s="0">
    <fb t="e">#NAME?</fb>
    <v>4</v>
    <v>1</v>
  </rv>
  <rv s="1">
    <v>13</v>
    <v>1</v>
  </rv>
  <rv s="0">
    <v>13</v>
    <v>3</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61665-402F-4394-87F4-F16A20B8D44A}">
  <sheetPr codeName="Sheet21"/>
  <dimension ref="A1:M12"/>
  <sheetViews>
    <sheetView workbookViewId="0">
      <selection activeCell="A6" sqref="A6:L8"/>
    </sheetView>
  </sheetViews>
  <sheetFormatPr defaultRowHeight="14.4" x14ac:dyDescent="0.35"/>
  <sheetData>
    <row r="1" spans="1:13" x14ac:dyDescent="0.35">
      <c r="A1" t="s">
        <v>441</v>
      </c>
    </row>
    <row r="2" spans="1:13" x14ac:dyDescent="0.35">
      <c r="A2" t="s">
        <v>425</v>
      </c>
      <c r="B2" t="s">
        <v>424</v>
      </c>
    </row>
    <row r="3" spans="1:13" x14ac:dyDescent="0.35">
      <c r="A3" t="s">
        <v>426</v>
      </c>
      <c r="B3" t="s">
        <v>427</v>
      </c>
    </row>
    <row r="4" spans="1:13" x14ac:dyDescent="0.35">
      <c r="A4" t="s">
        <v>428</v>
      </c>
      <c r="B4" t="s">
        <v>429</v>
      </c>
    </row>
    <row r="5" spans="1:13" x14ac:dyDescent="0.35">
      <c r="B5" t="s">
        <v>430</v>
      </c>
    </row>
    <row r="6" spans="1:13" x14ac:dyDescent="0.35">
      <c r="A6" s="8" t="s">
        <v>431</v>
      </c>
      <c r="B6" s="8" t="s">
        <v>432</v>
      </c>
      <c r="C6" s="8"/>
      <c r="D6" s="8"/>
      <c r="E6" s="8"/>
      <c r="F6" s="8"/>
      <c r="G6" s="8"/>
      <c r="H6" s="8"/>
      <c r="I6" s="8"/>
      <c r="J6" s="8"/>
      <c r="K6" s="8"/>
      <c r="L6" s="8"/>
      <c r="M6" t="s">
        <v>482</v>
      </c>
    </row>
    <row r="7" spans="1:13" x14ac:dyDescent="0.35">
      <c r="A7" s="8"/>
      <c r="B7" s="8" t="s">
        <v>433</v>
      </c>
      <c r="C7" s="8"/>
      <c r="D7" s="8"/>
      <c r="E7" s="8"/>
      <c r="F7" s="8"/>
      <c r="G7" s="8"/>
      <c r="H7" s="8"/>
      <c r="I7" s="8"/>
      <c r="J7" s="8"/>
      <c r="K7" s="8"/>
      <c r="L7" s="8"/>
    </row>
    <row r="8" spans="1:13" x14ac:dyDescent="0.35">
      <c r="A8" s="8"/>
      <c r="B8" s="8" t="s">
        <v>434</v>
      </c>
      <c r="C8" s="8"/>
      <c r="D8" s="8"/>
      <c r="E8" s="8"/>
      <c r="F8" s="8"/>
      <c r="G8" s="8"/>
      <c r="H8" s="8"/>
      <c r="I8" s="8"/>
      <c r="J8" s="8"/>
      <c r="K8" s="8"/>
      <c r="L8" s="8"/>
    </row>
    <row r="9" spans="1:13" x14ac:dyDescent="0.35">
      <c r="A9" t="s">
        <v>435</v>
      </c>
      <c r="B9" t="s">
        <v>436</v>
      </c>
    </row>
    <row r="10" spans="1:13" x14ac:dyDescent="0.35">
      <c r="B10" t="s">
        <v>437</v>
      </c>
    </row>
    <row r="11" spans="1:13" x14ac:dyDescent="0.35">
      <c r="B11" t="s">
        <v>438</v>
      </c>
    </row>
    <row r="12" spans="1:13" x14ac:dyDescent="0.35">
      <c r="A12" t="s">
        <v>439</v>
      </c>
      <c r="B12"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F06D8-9F6E-4ABD-8A9D-651ABD36B3C7}">
  <sheetPr codeName="Sheet1"/>
  <dimension ref="J3:K6"/>
  <sheetViews>
    <sheetView workbookViewId="0">
      <selection activeCell="K5" sqref="K5"/>
    </sheetView>
  </sheetViews>
  <sheetFormatPr defaultColWidth="9.109375" defaultRowHeight="14.4" x14ac:dyDescent="0.35"/>
  <cols>
    <col min="1" max="1" width="4.33203125" style="1" bestFit="1" customWidth="1"/>
    <col min="2" max="2" width="7.33203125" style="1" bestFit="1" customWidth="1"/>
    <col min="3" max="3" width="17.5546875" style="1" bestFit="1" customWidth="1"/>
    <col min="4" max="4" width="6.88671875" style="1" bestFit="1" customWidth="1"/>
    <col min="5" max="5" width="17" style="1" bestFit="1" customWidth="1"/>
    <col min="6" max="6" width="8.5546875" style="1" bestFit="1" customWidth="1"/>
    <col min="7" max="7" width="15" style="1" bestFit="1" customWidth="1"/>
    <col min="8" max="8" width="12.5546875" style="1" bestFit="1" customWidth="1"/>
    <col min="9" max="9" width="20.109375" style="1" bestFit="1" customWidth="1"/>
    <col min="10" max="10" width="17.109375" style="1" customWidth="1"/>
    <col min="11" max="11" width="22" style="1" customWidth="1"/>
    <col min="12" max="12" width="10.88671875" style="1" bestFit="1" customWidth="1"/>
    <col min="13" max="13" width="9.88671875" style="1" bestFit="1" customWidth="1"/>
    <col min="14" max="14" width="21.88671875" style="1" bestFit="1" customWidth="1"/>
    <col min="15" max="15" width="27.6640625" style="1" bestFit="1" customWidth="1"/>
    <col min="16" max="16" width="19.5546875" style="1" bestFit="1" customWidth="1"/>
    <col min="17" max="17" width="17.44140625" style="1" bestFit="1" customWidth="1"/>
    <col min="18" max="18" width="12" style="1" bestFit="1" customWidth="1"/>
    <col min="19" max="16384" width="9.109375" style="1"/>
  </cols>
  <sheetData>
    <row r="3" spans="10:11" x14ac:dyDescent="0.35">
      <c r="J3" s="12" t="s">
        <v>231</v>
      </c>
      <c r="K3" s="11" t="s">
        <v>102</v>
      </c>
    </row>
    <row r="4" spans="10:11" x14ac:dyDescent="0.35">
      <c r="J4" s="12" t="s">
        <v>232</v>
      </c>
      <c r="K4" s="11" t="s">
        <v>262</v>
      </c>
    </row>
    <row r="5" spans="10:11" x14ac:dyDescent="0.35">
      <c r="J5" s="12" t="s">
        <v>361</v>
      </c>
      <c r="K5" s="11" t="s">
        <v>376</v>
      </c>
    </row>
    <row r="6" spans="10:11" x14ac:dyDescent="0.35">
      <c r="J6" s="12" t="s">
        <v>362</v>
      </c>
      <c r="K6" s="11"/>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Button 3">
              <controlPr defaultSize="0" print="0" autoFill="0" autoPict="0" macro="[0]!CallForm">
                <anchor moveWithCells="1" sizeWithCells="1">
                  <from>
                    <xdr:col>0</xdr:col>
                    <xdr:colOff>38100</xdr:colOff>
                    <xdr:row>0</xdr:row>
                    <xdr:rowOff>175260</xdr:rowOff>
                  </from>
                  <to>
                    <xdr:col>4</xdr:col>
                    <xdr:colOff>1127760</xdr:colOff>
                    <xdr:row>8</xdr:row>
                    <xdr:rowOff>137160</xdr:rowOff>
                  </to>
                </anchor>
              </controlPr>
            </control>
          </mc:Choice>
        </mc:AlternateContent>
        <mc:AlternateContent xmlns:mc="http://schemas.openxmlformats.org/markup-compatibility/2006">
          <mc:Choice Requires="x14">
            <control shapeId="1028" r:id="rId5" name="Button 4">
              <controlPr defaultSize="0" print="0" autoFill="0" autoPict="0" macro="[0]!Macro1">
                <anchor moveWithCells="1">
                  <from>
                    <xdr:col>0</xdr:col>
                    <xdr:colOff>22860</xdr:colOff>
                    <xdr:row>9</xdr:row>
                    <xdr:rowOff>106680</xdr:rowOff>
                  </from>
                  <to>
                    <xdr:col>5</xdr:col>
                    <xdr:colOff>15240</xdr:colOff>
                    <xdr:row>14</xdr:row>
                    <xdr:rowOff>99060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8CFD4-BB3B-41DE-8D54-964742B1C98C}">
  <sheetPr codeName="Sheet18"/>
  <dimension ref="A1:D169"/>
  <sheetViews>
    <sheetView workbookViewId="0">
      <selection sqref="A1:XFD1048576"/>
    </sheetView>
  </sheetViews>
  <sheetFormatPr defaultRowHeight="14.4" x14ac:dyDescent="0.35"/>
  <cols>
    <col min="1" max="1" width="7" bestFit="1" customWidth="1"/>
    <col min="2" max="2" width="87.88671875" bestFit="1" customWidth="1"/>
    <col min="3" max="3" width="96.44140625" bestFit="1" customWidth="1"/>
    <col min="4" max="4" width="15.88671875" bestFit="1" customWidth="1"/>
  </cols>
  <sheetData>
    <row r="1" spans="1:4" x14ac:dyDescent="0.35">
      <c r="A1" t="s">
        <v>47</v>
      </c>
      <c r="B1" t="s">
        <v>48</v>
      </c>
      <c r="C1" t="s">
        <v>105</v>
      </c>
      <c r="D1" t="s">
        <v>46</v>
      </c>
    </row>
    <row r="2" spans="1:4" x14ac:dyDescent="0.35">
      <c r="A2">
        <v>1165</v>
      </c>
      <c r="B2" t="s">
        <v>500</v>
      </c>
      <c r="C2" t="s">
        <v>500</v>
      </c>
      <c r="D2" s="2">
        <v>45933</v>
      </c>
    </row>
    <row r="3" spans="1:4" x14ac:dyDescent="0.35">
      <c r="A3">
        <v>1130</v>
      </c>
      <c r="B3" t="s">
        <v>442</v>
      </c>
      <c r="C3" t="s">
        <v>442</v>
      </c>
      <c r="D3" s="2">
        <v>45870</v>
      </c>
    </row>
    <row r="4" spans="1:4" x14ac:dyDescent="0.35">
      <c r="A4">
        <v>1062</v>
      </c>
      <c r="B4" t="s">
        <v>264</v>
      </c>
      <c r="C4" t="s">
        <v>264</v>
      </c>
      <c r="D4" s="2">
        <v>45688</v>
      </c>
    </row>
    <row r="5" spans="1:4" x14ac:dyDescent="0.35">
      <c r="A5">
        <v>1129</v>
      </c>
      <c r="B5" t="s">
        <v>443</v>
      </c>
      <c r="C5" t="s">
        <v>444</v>
      </c>
      <c r="D5" s="2">
        <v>45870</v>
      </c>
    </row>
    <row r="6" spans="1:4" x14ac:dyDescent="0.35">
      <c r="A6">
        <v>1061</v>
      </c>
      <c r="B6" t="s">
        <v>265</v>
      </c>
      <c r="C6" t="s">
        <v>265</v>
      </c>
      <c r="D6" s="2">
        <v>45672</v>
      </c>
    </row>
    <row r="7" spans="1:4" x14ac:dyDescent="0.35">
      <c r="A7">
        <v>1037</v>
      </c>
      <c r="B7" t="s">
        <v>266</v>
      </c>
      <c r="C7" t="s">
        <v>267</v>
      </c>
      <c r="D7" s="2">
        <v>45625</v>
      </c>
    </row>
    <row r="8" spans="1:4" x14ac:dyDescent="0.35">
      <c r="A8">
        <v>1083</v>
      </c>
      <c r="B8" t="s">
        <v>268</v>
      </c>
      <c r="C8" t="s">
        <v>268</v>
      </c>
      <c r="D8" s="2">
        <v>45737</v>
      </c>
    </row>
    <row r="9" spans="1:4" x14ac:dyDescent="0.35">
      <c r="A9">
        <v>1103</v>
      </c>
      <c r="B9" t="s">
        <v>377</v>
      </c>
      <c r="C9" t="s">
        <v>378</v>
      </c>
      <c r="D9" s="2">
        <v>45748</v>
      </c>
    </row>
    <row r="10" spans="1:4" x14ac:dyDescent="0.35">
      <c r="A10">
        <v>1041</v>
      </c>
      <c r="B10" t="s">
        <v>269</v>
      </c>
      <c r="C10" t="s">
        <v>269</v>
      </c>
      <c r="D10" s="2">
        <v>45674</v>
      </c>
    </row>
    <row r="11" spans="1:4" x14ac:dyDescent="0.35">
      <c r="A11">
        <v>1074</v>
      </c>
      <c r="B11" t="s">
        <v>270</v>
      </c>
      <c r="C11" t="s">
        <v>271</v>
      </c>
      <c r="D11" s="2">
        <v>45681</v>
      </c>
    </row>
    <row r="12" spans="1:4" x14ac:dyDescent="0.35">
      <c r="A12">
        <v>1065</v>
      </c>
      <c r="B12" t="s">
        <v>272</v>
      </c>
      <c r="C12" t="s">
        <v>272</v>
      </c>
      <c r="D12" s="2">
        <v>45661</v>
      </c>
    </row>
    <row r="13" spans="1:4" x14ac:dyDescent="0.35">
      <c r="A13">
        <v>1134</v>
      </c>
      <c r="B13" t="s">
        <v>445</v>
      </c>
      <c r="C13" t="s">
        <v>445</v>
      </c>
      <c r="D13" s="2">
        <v>45870</v>
      </c>
    </row>
    <row r="14" spans="1:4" x14ac:dyDescent="0.35">
      <c r="A14">
        <v>1024</v>
      </c>
      <c r="B14" t="s">
        <v>273</v>
      </c>
      <c r="C14" t="s">
        <v>274</v>
      </c>
      <c r="D14" s="2">
        <v>45597</v>
      </c>
    </row>
    <row r="15" spans="1:4" x14ac:dyDescent="0.35">
      <c r="A15">
        <v>1153</v>
      </c>
      <c r="B15" t="s">
        <v>271</v>
      </c>
      <c r="C15" t="s">
        <v>494</v>
      </c>
      <c r="D15" s="2">
        <v>45849</v>
      </c>
    </row>
    <row r="16" spans="1:4" x14ac:dyDescent="0.35">
      <c r="A16">
        <v>1135</v>
      </c>
      <c r="B16" t="s">
        <v>446</v>
      </c>
      <c r="C16" t="s">
        <v>446</v>
      </c>
      <c r="D16" s="2">
        <v>45858</v>
      </c>
    </row>
    <row r="17" spans="1:4" x14ac:dyDescent="0.35">
      <c r="A17">
        <v>1174</v>
      </c>
      <c r="B17" t="s">
        <v>501</v>
      </c>
      <c r="C17" t="s">
        <v>501</v>
      </c>
      <c r="D17" s="2">
        <v>45933</v>
      </c>
    </row>
    <row r="18" spans="1:4" x14ac:dyDescent="0.35">
      <c r="A18">
        <v>1169</v>
      </c>
      <c r="B18" t="s">
        <v>502</v>
      </c>
      <c r="C18" t="s">
        <v>503</v>
      </c>
      <c r="D18" s="2">
        <v>45941</v>
      </c>
    </row>
    <row r="19" spans="1:4" x14ac:dyDescent="0.35">
      <c r="A19">
        <v>1177</v>
      </c>
      <c r="B19" t="s">
        <v>525</v>
      </c>
      <c r="C19" t="s">
        <v>525</v>
      </c>
      <c r="D19" s="2">
        <v>45933</v>
      </c>
    </row>
    <row r="20" spans="1:4" x14ac:dyDescent="0.35">
      <c r="A20">
        <v>1176</v>
      </c>
      <c r="B20" t="s">
        <v>526</v>
      </c>
      <c r="C20" t="s">
        <v>526</v>
      </c>
      <c r="D20" s="2">
        <v>45933</v>
      </c>
    </row>
    <row r="21" spans="1:4" x14ac:dyDescent="0.35">
      <c r="A21">
        <v>1163</v>
      </c>
      <c r="B21" t="s">
        <v>504</v>
      </c>
      <c r="C21" t="s">
        <v>504</v>
      </c>
      <c r="D21" s="2">
        <v>45933</v>
      </c>
    </row>
    <row r="22" spans="1:4" x14ac:dyDescent="0.35">
      <c r="A22">
        <v>1157</v>
      </c>
      <c r="B22" t="s">
        <v>505</v>
      </c>
      <c r="C22" t="s">
        <v>505</v>
      </c>
      <c r="D22" s="2">
        <v>45884</v>
      </c>
    </row>
    <row r="23" spans="1:4" x14ac:dyDescent="0.35">
      <c r="A23">
        <v>1172</v>
      </c>
      <c r="B23" t="s">
        <v>506</v>
      </c>
      <c r="C23" t="s">
        <v>506</v>
      </c>
      <c r="D23" s="2">
        <v>45933</v>
      </c>
    </row>
    <row r="24" spans="1:4" x14ac:dyDescent="0.35">
      <c r="A24">
        <v>1158</v>
      </c>
      <c r="B24" t="s">
        <v>507</v>
      </c>
      <c r="C24" t="s">
        <v>507</v>
      </c>
      <c r="D24" s="2">
        <v>45873</v>
      </c>
    </row>
    <row r="25" spans="1:4" x14ac:dyDescent="0.35">
      <c r="A25">
        <v>1151</v>
      </c>
      <c r="B25" t="s">
        <v>483</v>
      </c>
      <c r="C25" t="s">
        <v>483</v>
      </c>
      <c r="D25" s="2">
        <v>45856</v>
      </c>
    </row>
    <row r="26" spans="1:4" x14ac:dyDescent="0.35">
      <c r="A26">
        <v>1166</v>
      </c>
      <c r="B26" t="s">
        <v>508</v>
      </c>
      <c r="C26" t="s">
        <v>509</v>
      </c>
      <c r="D26" s="2">
        <v>45898</v>
      </c>
    </row>
    <row r="27" spans="1:4" x14ac:dyDescent="0.35">
      <c r="A27">
        <v>1143</v>
      </c>
      <c r="B27" t="s">
        <v>447</v>
      </c>
      <c r="C27" t="s">
        <v>447</v>
      </c>
      <c r="D27" s="2">
        <v>45858</v>
      </c>
    </row>
    <row r="28" spans="1:4" x14ac:dyDescent="0.35">
      <c r="A28">
        <v>1179</v>
      </c>
      <c r="B28" t="s">
        <v>677</v>
      </c>
      <c r="C28" t="s">
        <v>677</v>
      </c>
      <c r="D28" s="2">
        <v>45933</v>
      </c>
    </row>
    <row r="29" spans="1:4" x14ac:dyDescent="0.35">
      <c r="A29">
        <v>1178</v>
      </c>
      <c r="B29" t="s">
        <v>678</v>
      </c>
      <c r="C29" t="s">
        <v>679</v>
      </c>
      <c r="D29" s="2">
        <v>45961</v>
      </c>
    </row>
    <row r="30" spans="1:4" x14ac:dyDescent="0.35">
      <c r="A30">
        <v>1125</v>
      </c>
      <c r="B30" t="s">
        <v>448</v>
      </c>
      <c r="C30" t="s">
        <v>448</v>
      </c>
      <c r="D30" s="2">
        <v>45777</v>
      </c>
    </row>
    <row r="31" spans="1:4" x14ac:dyDescent="0.35">
      <c r="A31">
        <v>1128</v>
      </c>
      <c r="B31" t="s">
        <v>449</v>
      </c>
      <c r="C31" t="s">
        <v>449</v>
      </c>
      <c r="D31" s="2">
        <v>45793</v>
      </c>
    </row>
    <row r="32" spans="1:4" x14ac:dyDescent="0.35">
      <c r="A32">
        <v>1044</v>
      </c>
      <c r="B32" t="s">
        <v>275</v>
      </c>
      <c r="C32" t="s">
        <v>275</v>
      </c>
      <c r="D32" s="2">
        <v>45704</v>
      </c>
    </row>
    <row r="33" spans="1:4" x14ac:dyDescent="0.35">
      <c r="A33">
        <v>1018</v>
      </c>
      <c r="B33" t="s">
        <v>276</v>
      </c>
      <c r="C33" t="s">
        <v>276</v>
      </c>
      <c r="D33" s="2">
        <v>45643</v>
      </c>
    </row>
    <row r="34" spans="1:4" x14ac:dyDescent="0.35">
      <c r="A34">
        <v>1059</v>
      </c>
      <c r="B34" t="s">
        <v>277</v>
      </c>
      <c r="C34" t="s">
        <v>277</v>
      </c>
      <c r="D34" s="2">
        <v>45704</v>
      </c>
    </row>
    <row r="35" spans="1:4" x14ac:dyDescent="0.35">
      <c r="A35">
        <v>1052</v>
      </c>
      <c r="B35" t="s">
        <v>277</v>
      </c>
      <c r="C35" t="s">
        <v>277</v>
      </c>
      <c r="D35" s="2">
        <v>45646</v>
      </c>
    </row>
    <row r="36" spans="1:4" x14ac:dyDescent="0.35">
      <c r="A36">
        <v>1085</v>
      </c>
      <c r="B36" t="s">
        <v>277</v>
      </c>
      <c r="C36" t="s">
        <v>277</v>
      </c>
      <c r="D36" s="2">
        <v>45767</v>
      </c>
    </row>
    <row r="37" spans="1:4" x14ac:dyDescent="0.35">
      <c r="A37">
        <v>1073</v>
      </c>
      <c r="B37" t="s">
        <v>278</v>
      </c>
      <c r="C37" t="s">
        <v>279</v>
      </c>
      <c r="D37" s="2">
        <v>45753</v>
      </c>
    </row>
    <row r="38" spans="1:4" x14ac:dyDescent="0.35">
      <c r="A38">
        <v>1053</v>
      </c>
      <c r="B38" t="s">
        <v>280</v>
      </c>
      <c r="C38" t="s">
        <v>280</v>
      </c>
      <c r="D38" s="2">
        <v>45688</v>
      </c>
    </row>
    <row r="39" spans="1:4" x14ac:dyDescent="0.35">
      <c r="A39">
        <v>1078</v>
      </c>
      <c r="B39" t="s">
        <v>281</v>
      </c>
      <c r="C39" t="s">
        <v>282</v>
      </c>
      <c r="D39" s="2">
        <v>45777</v>
      </c>
    </row>
    <row r="40" spans="1:4" x14ac:dyDescent="0.35">
      <c r="A40">
        <v>1101</v>
      </c>
      <c r="B40" t="s">
        <v>379</v>
      </c>
      <c r="C40" t="s">
        <v>450</v>
      </c>
      <c r="D40" s="2">
        <v>45777</v>
      </c>
    </row>
    <row r="41" spans="1:4" x14ac:dyDescent="0.35">
      <c r="A41">
        <v>1110</v>
      </c>
      <c r="B41" t="s">
        <v>396</v>
      </c>
      <c r="C41" t="s">
        <v>282</v>
      </c>
      <c r="D41" s="2">
        <v>45808</v>
      </c>
    </row>
    <row r="42" spans="1:4" x14ac:dyDescent="0.35">
      <c r="A42">
        <v>1031</v>
      </c>
      <c r="B42" t="s">
        <v>283</v>
      </c>
      <c r="C42" t="s">
        <v>284</v>
      </c>
      <c r="D42" s="2">
        <v>45579</v>
      </c>
    </row>
    <row r="43" spans="1:4" x14ac:dyDescent="0.35">
      <c r="A43">
        <v>1032</v>
      </c>
      <c r="B43" t="s">
        <v>285</v>
      </c>
      <c r="C43" t="s">
        <v>284</v>
      </c>
      <c r="D43" s="2">
        <v>45597</v>
      </c>
    </row>
    <row r="44" spans="1:4" x14ac:dyDescent="0.35">
      <c r="A44">
        <v>1119</v>
      </c>
      <c r="B44" t="s">
        <v>419</v>
      </c>
      <c r="C44" t="s">
        <v>419</v>
      </c>
      <c r="D44" s="2">
        <v>45877</v>
      </c>
    </row>
    <row r="45" spans="1:4" x14ac:dyDescent="0.35">
      <c r="A45">
        <v>1159</v>
      </c>
      <c r="B45" t="s">
        <v>510</v>
      </c>
      <c r="C45" t="s">
        <v>510</v>
      </c>
      <c r="D45" s="2">
        <v>45838</v>
      </c>
    </row>
    <row r="46" spans="1:4" x14ac:dyDescent="0.35">
      <c r="A46">
        <v>1100</v>
      </c>
      <c r="B46" t="s">
        <v>380</v>
      </c>
      <c r="C46" t="s">
        <v>380</v>
      </c>
      <c r="D46" s="2">
        <v>45744</v>
      </c>
    </row>
    <row r="47" spans="1:4" x14ac:dyDescent="0.35">
      <c r="A47">
        <v>1161</v>
      </c>
      <c r="B47" t="s">
        <v>511</v>
      </c>
      <c r="C47" t="s">
        <v>511</v>
      </c>
      <c r="D47" s="2">
        <v>45930</v>
      </c>
    </row>
    <row r="48" spans="1:4" x14ac:dyDescent="0.35">
      <c r="A48">
        <v>1147</v>
      </c>
      <c r="B48" t="s">
        <v>484</v>
      </c>
      <c r="C48" t="s">
        <v>484</v>
      </c>
      <c r="D48" s="2">
        <v>45891</v>
      </c>
    </row>
    <row r="49" spans="1:4" x14ac:dyDescent="0.35">
      <c r="A49">
        <v>1131</v>
      </c>
      <c r="B49" t="s">
        <v>485</v>
      </c>
      <c r="C49" t="s">
        <v>451</v>
      </c>
      <c r="D49" s="2">
        <v>45858</v>
      </c>
    </row>
    <row r="50" spans="1:4" x14ac:dyDescent="0.35">
      <c r="A50">
        <v>1149</v>
      </c>
      <c r="B50" t="s">
        <v>486</v>
      </c>
      <c r="C50" t="s">
        <v>486</v>
      </c>
      <c r="D50" s="2">
        <v>45912</v>
      </c>
    </row>
    <row r="51" spans="1:4" x14ac:dyDescent="0.35">
      <c r="A51">
        <v>1069</v>
      </c>
      <c r="B51" t="s">
        <v>286</v>
      </c>
      <c r="C51" t="s">
        <v>286</v>
      </c>
      <c r="D51" s="2">
        <v>45674</v>
      </c>
    </row>
    <row r="52" spans="1:4" x14ac:dyDescent="0.35">
      <c r="A52">
        <v>1019</v>
      </c>
      <c r="B52" t="s">
        <v>287</v>
      </c>
      <c r="C52" t="s">
        <v>287</v>
      </c>
      <c r="D52" s="2">
        <v>45597</v>
      </c>
    </row>
    <row r="53" spans="1:4" x14ac:dyDescent="0.35">
      <c r="A53">
        <v>1030</v>
      </c>
      <c r="B53" t="s">
        <v>288</v>
      </c>
      <c r="C53" t="s">
        <v>288</v>
      </c>
      <c r="D53" s="2">
        <v>45702</v>
      </c>
    </row>
    <row r="54" spans="1:4" x14ac:dyDescent="0.35">
      <c r="A54">
        <v>1066</v>
      </c>
      <c r="B54" t="s">
        <v>355</v>
      </c>
      <c r="C54" t="s">
        <v>355</v>
      </c>
      <c r="D54" s="2">
        <v>45765</v>
      </c>
    </row>
    <row r="55" spans="1:4" x14ac:dyDescent="0.35">
      <c r="A55">
        <v>1097</v>
      </c>
      <c r="B55" t="s">
        <v>363</v>
      </c>
      <c r="C55">
        <v>2616</v>
      </c>
      <c r="D55" s="2">
        <v>45849</v>
      </c>
    </row>
    <row r="56" spans="1:4" x14ac:dyDescent="0.35">
      <c r="A56">
        <v>1089</v>
      </c>
      <c r="B56" t="s">
        <v>356</v>
      </c>
      <c r="C56" t="s">
        <v>356</v>
      </c>
      <c r="D56" s="2">
        <v>45765</v>
      </c>
    </row>
    <row r="57" spans="1:4" x14ac:dyDescent="0.35">
      <c r="A57">
        <v>1120</v>
      </c>
      <c r="B57" t="s">
        <v>420</v>
      </c>
      <c r="C57" t="s">
        <v>420</v>
      </c>
      <c r="D57" s="2">
        <v>45947</v>
      </c>
    </row>
    <row r="58" spans="1:4" x14ac:dyDescent="0.35">
      <c r="A58">
        <v>1155</v>
      </c>
      <c r="B58" t="s">
        <v>512</v>
      </c>
      <c r="C58" t="s">
        <v>513</v>
      </c>
      <c r="D58" s="2">
        <v>45875</v>
      </c>
    </row>
    <row r="59" spans="1:4" x14ac:dyDescent="0.35">
      <c r="A59">
        <v>1007</v>
      </c>
      <c r="B59" t="s">
        <v>289</v>
      </c>
      <c r="C59" t="s">
        <v>289</v>
      </c>
      <c r="D59" s="2">
        <v>45625</v>
      </c>
    </row>
    <row r="60" spans="1:4" x14ac:dyDescent="0.35">
      <c r="A60">
        <v>1004</v>
      </c>
      <c r="B60" t="s">
        <v>290</v>
      </c>
      <c r="C60" t="s">
        <v>291</v>
      </c>
      <c r="D60" s="2">
        <v>45590</v>
      </c>
    </row>
    <row r="61" spans="1:4" x14ac:dyDescent="0.35">
      <c r="A61">
        <v>1015</v>
      </c>
      <c r="B61" t="s">
        <v>292</v>
      </c>
      <c r="C61" t="s">
        <v>292</v>
      </c>
      <c r="D61" s="2">
        <v>45625</v>
      </c>
    </row>
    <row r="62" spans="1:4" x14ac:dyDescent="0.35">
      <c r="A62">
        <v>1093</v>
      </c>
      <c r="B62" t="s">
        <v>357</v>
      </c>
      <c r="C62" t="s">
        <v>357</v>
      </c>
      <c r="D62" s="2">
        <v>45765</v>
      </c>
    </row>
    <row r="63" spans="1:4" x14ac:dyDescent="0.35">
      <c r="A63">
        <v>1082</v>
      </c>
      <c r="B63" t="s">
        <v>293</v>
      </c>
      <c r="C63" t="s">
        <v>293</v>
      </c>
      <c r="D63" s="2">
        <v>45765</v>
      </c>
    </row>
    <row r="64" spans="1:4" x14ac:dyDescent="0.35">
      <c r="A64">
        <v>1060</v>
      </c>
      <c r="B64" t="s">
        <v>294</v>
      </c>
      <c r="C64" t="s">
        <v>295</v>
      </c>
      <c r="D64" s="2">
        <v>45649</v>
      </c>
    </row>
    <row r="65" spans="1:4" x14ac:dyDescent="0.35">
      <c r="A65">
        <v>1068</v>
      </c>
      <c r="B65" t="s">
        <v>296</v>
      </c>
      <c r="C65" t="s">
        <v>296</v>
      </c>
      <c r="D65" s="2">
        <v>45774</v>
      </c>
    </row>
    <row r="66" spans="1:4" x14ac:dyDescent="0.35">
      <c r="A66">
        <v>1040</v>
      </c>
      <c r="B66" t="s">
        <v>297</v>
      </c>
      <c r="C66" t="s">
        <v>297</v>
      </c>
      <c r="D66" s="2">
        <v>45753</v>
      </c>
    </row>
    <row r="67" spans="1:4" x14ac:dyDescent="0.35">
      <c r="A67">
        <v>1113</v>
      </c>
      <c r="B67" t="s">
        <v>397</v>
      </c>
      <c r="C67" t="s">
        <v>398</v>
      </c>
      <c r="D67" s="2">
        <v>45763</v>
      </c>
    </row>
    <row r="68" spans="1:4" x14ac:dyDescent="0.35">
      <c r="A68">
        <v>1141</v>
      </c>
      <c r="B68" t="s">
        <v>452</v>
      </c>
      <c r="C68" t="s">
        <v>453</v>
      </c>
      <c r="D68" s="2">
        <v>45919</v>
      </c>
    </row>
    <row r="69" spans="1:4" x14ac:dyDescent="0.35">
      <c r="A69">
        <v>1001</v>
      </c>
      <c r="B69" t="s">
        <v>298</v>
      </c>
      <c r="C69" t="s">
        <v>298</v>
      </c>
      <c r="D69" s="2">
        <v>45632</v>
      </c>
    </row>
    <row r="70" spans="1:4" x14ac:dyDescent="0.35">
      <c r="A70">
        <v>1111</v>
      </c>
      <c r="B70" t="s">
        <v>399</v>
      </c>
      <c r="C70" t="s">
        <v>399</v>
      </c>
      <c r="D70" s="2">
        <v>45926</v>
      </c>
    </row>
    <row r="71" spans="1:4" x14ac:dyDescent="0.35">
      <c r="A71">
        <v>1133</v>
      </c>
      <c r="B71" t="s">
        <v>495</v>
      </c>
      <c r="C71" t="s">
        <v>454</v>
      </c>
      <c r="D71" s="2">
        <v>45877</v>
      </c>
    </row>
    <row r="72" spans="1:4" x14ac:dyDescent="0.35">
      <c r="A72">
        <v>1107</v>
      </c>
      <c r="B72" t="s">
        <v>400</v>
      </c>
      <c r="C72" t="s">
        <v>400</v>
      </c>
      <c r="D72" s="2">
        <v>45765</v>
      </c>
    </row>
    <row r="73" spans="1:4" x14ac:dyDescent="0.35">
      <c r="A73">
        <v>1112</v>
      </c>
      <c r="B73" t="s">
        <v>401</v>
      </c>
      <c r="C73" t="s">
        <v>401</v>
      </c>
      <c r="D73" s="2">
        <v>45870</v>
      </c>
    </row>
    <row r="74" spans="1:4" x14ac:dyDescent="0.35">
      <c r="A74">
        <v>1063</v>
      </c>
      <c r="B74" t="s">
        <v>299</v>
      </c>
      <c r="C74" t="s">
        <v>299</v>
      </c>
      <c r="D74" s="2">
        <v>45702</v>
      </c>
    </row>
    <row r="75" spans="1:4" x14ac:dyDescent="0.35">
      <c r="A75">
        <v>1077</v>
      </c>
      <c r="B75" t="s">
        <v>300</v>
      </c>
      <c r="C75" t="s">
        <v>300</v>
      </c>
      <c r="D75" s="2">
        <v>45884</v>
      </c>
    </row>
    <row r="76" spans="1:4" x14ac:dyDescent="0.35">
      <c r="A76">
        <v>1094</v>
      </c>
      <c r="B76" t="s">
        <v>364</v>
      </c>
      <c r="C76" t="s">
        <v>364</v>
      </c>
      <c r="D76" s="2">
        <v>45884</v>
      </c>
    </row>
    <row r="77" spans="1:4" x14ac:dyDescent="0.35">
      <c r="A77">
        <v>1026</v>
      </c>
      <c r="B77" t="s">
        <v>365</v>
      </c>
      <c r="C77" t="s">
        <v>300</v>
      </c>
      <c r="D77" s="2">
        <v>45744</v>
      </c>
    </row>
    <row r="78" spans="1:4" x14ac:dyDescent="0.35">
      <c r="A78">
        <v>1162</v>
      </c>
      <c r="B78" t="s">
        <v>514</v>
      </c>
      <c r="C78" t="s">
        <v>514</v>
      </c>
      <c r="D78" s="2">
        <v>45870</v>
      </c>
    </row>
    <row r="79" spans="1:4" x14ac:dyDescent="0.35">
      <c r="A79">
        <v>1029</v>
      </c>
      <c r="B79" t="s">
        <v>301</v>
      </c>
      <c r="C79" t="s">
        <v>301</v>
      </c>
      <c r="D79" s="2">
        <v>45626</v>
      </c>
    </row>
    <row r="80" spans="1:4" x14ac:dyDescent="0.35">
      <c r="A80">
        <v>1091</v>
      </c>
      <c r="B80" t="s">
        <v>358</v>
      </c>
      <c r="C80" t="s">
        <v>358</v>
      </c>
      <c r="D80" s="2">
        <v>45730</v>
      </c>
    </row>
    <row r="81" spans="1:4" x14ac:dyDescent="0.35">
      <c r="A81">
        <v>1035</v>
      </c>
      <c r="B81" t="s">
        <v>302</v>
      </c>
      <c r="C81" t="s">
        <v>302</v>
      </c>
      <c r="D81" s="2">
        <v>45611</v>
      </c>
    </row>
    <row r="82" spans="1:4" x14ac:dyDescent="0.35">
      <c r="A82">
        <v>1020</v>
      </c>
      <c r="B82" t="s">
        <v>303</v>
      </c>
      <c r="C82" t="s">
        <v>303</v>
      </c>
      <c r="D82" s="2">
        <v>45681</v>
      </c>
    </row>
    <row r="83" spans="1:4" x14ac:dyDescent="0.35">
      <c r="A83">
        <v>1051</v>
      </c>
      <c r="B83" t="s">
        <v>304</v>
      </c>
      <c r="C83" t="s">
        <v>305</v>
      </c>
      <c r="D83" s="2">
        <v>45690</v>
      </c>
    </row>
    <row r="84" spans="1:4" x14ac:dyDescent="0.35">
      <c r="A84">
        <v>1014</v>
      </c>
      <c r="B84" t="s">
        <v>306</v>
      </c>
      <c r="C84" t="s">
        <v>306</v>
      </c>
      <c r="D84" s="2">
        <v>45611</v>
      </c>
    </row>
    <row r="85" spans="1:4" x14ac:dyDescent="0.35">
      <c r="A85">
        <v>1010</v>
      </c>
      <c r="B85" t="s">
        <v>307</v>
      </c>
      <c r="C85" t="s">
        <v>307</v>
      </c>
      <c r="D85" s="2">
        <v>45779</v>
      </c>
    </row>
    <row r="86" spans="1:4" x14ac:dyDescent="0.35">
      <c r="A86">
        <v>1013</v>
      </c>
      <c r="B86" t="s">
        <v>308</v>
      </c>
      <c r="C86" t="s">
        <v>308</v>
      </c>
      <c r="D86" s="2">
        <v>45779</v>
      </c>
    </row>
    <row r="87" spans="1:4" x14ac:dyDescent="0.35">
      <c r="A87">
        <v>1023</v>
      </c>
      <c r="B87" t="s">
        <v>309</v>
      </c>
      <c r="C87" t="s">
        <v>310</v>
      </c>
      <c r="D87" s="2">
        <v>45632</v>
      </c>
    </row>
    <row r="88" spans="1:4" x14ac:dyDescent="0.35">
      <c r="A88">
        <v>1146</v>
      </c>
      <c r="B88" t="s">
        <v>487</v>
      </c>
      <c r="C88" t="s">
        <v>488</v>
      </c>
      <c r="D88" s="2">
        <v>45921</v>
      </c>
    </row>
    <row r="89" spans="1:4" x14ac:dyDescent="0.35">
      <c r="A89">
        <v>1009</v>
      </c>
      <c r="B89" t="s">
        <v>311</v>
      </c>
      <c r="C89" t="s">
        <v>312</v>
      </c>
      <c r="D89" s="2">
        <v>45625</v>
      </c>
    </row>
    <row r="90" spans="1:4" x14ac:dyDescent="0.35">
      <c r="A90">
        <v>1039</v>
      </c>
      <c r="B90" t="s">
        <v>313</v>
      </c>
      <c r="C90" t="s">
        <v>313</v>
      </c>
      <c r="D90" s="2">
        <v>45702</v>
      </c>
    </row>
    <row r="91" spans="1:4" x14ac:dyDescent="0.35">
      <c r="A91">
        <v>1145</v>
      </c>
      <c r="B91" t="s">
        <v>489</v>
      </c>
      <c r="C91" t="s">
        <v>489</v>
      </c>
      <c r="D91" s="2">
        <v>46003</v>
      </c>
    </row>
    <row r="92" spans="1:4" x14ac:dyDescent="0.35">
      <c r="A92">
        <v>1079</v>
      </c>
      <c r="B92" t="s">
        <v>314</v>
      </c>
      <c r="C92" t="s">
        <v>314</v>
      </c>
      <c r="D92" s="2">
        <v>45872</v>
      </c>
    </row>
    <row r="93" spans="1:4" x14ac:dyDescent="0.35">
      <c r="A93">
        <v>1087</v>
      </c>
      <c r="B93" t="s">
        <v>315</v>
      </c>
      <c r="C93" t="s">
        <v>315</v>
      </c>
      <c r="D93" s="2">
        <v>45837</v>
      </c>
    </row>
    <row r="94" spans="1:4" x14ac:dyDescent="0.35">
      <c r="A94">
        <v>1164</v>
      </c>
      <c r="B94" t="s">
        <v>515</v>
      </c>
      <c r="C94" t="s">
        <v>515</v>
      </c>
      <c r="D94" s="2">
        <v>45934</v>
      </c>
    </row>
    <row r="95" spans="1:4" x14ac:dyDescent="0.35">
      <c r="A95">
        <v>1042</v>
      </c>
      <c r="B95" t="s">
        <v>316</v>
      </c>
      <c r="C95" t="s">
        <v>316</v>
      </c>
      <c r="D95" s="2">
        <v>45716</v>
      </c>
    </row>
    <row r="96" spans="1:4" x14ac:dyDescent="0.35">
      <c r="A96">
        <v>1038</v>
      </c>
      <c r="B96" t="s">
        <v>317</v>
      </c>
      <c r="C96" t="s">
        <v>317</v>
      </c>
      <c r="D96" s="2">
        <v>45744</v>
      </c>
    </row>
    <row r="97" spans="1:4" x14ac:dyDescent="0.35">
      <c r="A97">
        <v>1016</v>
      </c>
      <c r="B97" t="s">
        <v>318</v>
      </c>
      <c r="C97" t="s">
        <v>318</v>
      </c>
      <c r="D97" s="2">
        <v>45625</v>
      </c>
    </row>
    <row r="98" spans="1:4" x14ac:dyDescent="0.35">
      <c r="A98">
        <v>1090</v>
      </c>
      <c r="B98" t="s">
        <v>359</v>
      </c>
      <c r="C98" t="s">
        <v>359</v>
      </c>
      <c r="D98" s="2">
        <v>45873</v>
      </c>
    </row>
    <row r="99" spans="1:4" x14ac:dyDescent="0.35">
      <c r="A99">
        <v>1102</v>
      </c>
      <c r="B99" t="s">
        <v>455</v>
      </c>
      <c r="C99" t="s">
        <v>381</v>
      </c>
      <c r="D99" s="2">
        <v>45858</v>
      </c>
    </row>
    <row r="100" spans="1:4" x14ac:dyDescent="0.35">
      <c r="A100">
        <v>1124</v>
      </c>
      <c r="B100" t="s">
        <v>456</v>
      </c>
      <c r="C100" t="s">
        <v>457</v>
      </c>
      <c r="D100" s="2">
        <v>45900</v>
      </c>
    </row>
    <row r="101" spans="1:4" x14ac:dyDescent="0.35">
      <c r="A101">
        <v>1005</v>
      </c>
      <c r="B101" t="s">
        <v>319</v>
      </c>
      <c r="C101" t="s">
        <v>319</v>
      </c>
      <c r="D101" s="2">
        <v>45611</v>
      </c>
    </row>
    <row r="102" spans="1:4" x14ac:dyDescent="0.35">
      <c r="A102">
        <v>1071</v>
      </c>
      <c r="B102" t="s">
        <v>320</v>
      </c>
      <c r="C102" t="s">
        <v>320</v>
      </c>
      <c r="D102" s="2">
        <v>45751</v>
      </c>
    </row>
    <row r="103" spans="1:4" x14ac:dyDescent="0.35">
      <c r="A103">
        <v>1099</v>
      </c>
      <c r="B103" t="s">
        <v>376</v>
      </c>
      <c r="C103" t="s">
        <v>376</v>
      </c>
      <c r="D103" s="2">
        <v>45858</v>
      </c>
    </row>
    <row r="104" spans="1:4" x14ac:dyDescent="0.35">
      <c r="A104">
        <v>1049</v>
      </c>
      <c r="B104" t="s">
        <v>321</v>
      </c>
      <c r="C104" t="s">
        <v>321</v>
      </c>
      <c r="D104" s="2">
        <v>45702</v>
      </c>
    </row>
    <row r="105" spans="1:4" x14ac:dyDescent="0.35">
      <c r="A105">
        <v>1070</v>
      </c>
      <c r="B105" t="s">
        <v>322</v>
      </c>
      <c r="C105" t="s">
        <v>322</v>
      </c>
      <c r="D105" s="2">
        <v>45663</v>
      </c>
    </row>
    <row r="106" spans="1:4" x14ac:dyDescent="0.35">
      <c r="A106">
        <v>1136</v>
      </c>
      <c r="B106" t="s">
        <v>458</v>
      </c>
      <c r="C106" t="s">
        <v>459</v>
      </c>
      <c r="D106" s="2">
        <v>45871</v>
      </c>
    </row>
    <row r="107" spans="1:4" x14ac:dyDescent="0.35">
      <c r="A107">
        <v>1008</v>
      </c>
      <c r="B107" t="s">
        <v>323</v>
      </c>
      <c r="C107" t="s">
        <v>323</v>
      </c>
      <c r="D107" s="2">
        <v>45625</v>
      </c>
    </row>
    <row r="108" spans="1:4" x14ac:dyDescent="0.35">
      <c r="A108">
        <v>1175</v>
      </c>
      <c r="B108" t="s">
        <v>516</v>
      </c>
      <c r="C108" t="s">
        <v>516</v>
      </c>
      <c r="D108" s="2">
        <v>45921</v>
      </c>
    </row>
    <row r="109" spans="1:4" x14ac:dyDescent="0.35">
      <c r="A109">
        <v>1006</v>
      </c>
      <c r="B109" t="s">
        <v>324</v>
      </c>
      <c r="C109" t="s">
        <v>324</v>
      </c>
      <c r="D109" s="2">
        <v>45640</v>
      </c>
    </row>
    <row r="110" spans="1:4" x14ac:dyDescent="0.35">
      <c r="A110">
        <v>1084</v>
      </c>
      <c r="B110" t="s">
        <v>325</v>
      </c>
      <c r="C110" t="s">
        <v>325</v>
      </c>
      <c r="D110" s="2">
        <v>45870</v>
      </c>
    </row>
    <row r="111" spans="1:4" x14ac:dyDescent="0.35">
      <c r="A111">
        <v>1045</v>
      </c>
      <c r="B111" t="s">
        <v>326</v>
      </c>
      <c r="C111" t="s">
        <v>326</v>
      </c>
      <c r="D111" s="2">
        <v>45702</v>
      </c>
    </row>
    <row r="112" spans="1:4" x14ac:dyDescent="0.35">
      <c r="A112">
        <v>1104</v>
      </c>
      <c r="B112" t="s">
        <v>392</v>
      </c>
      <c r="C112" t="s">
        <v>392</v>
      </c>
      <c r="D112" s="2">
        <v>45870</v>
      </c>
    </row>
    <row r="113" spans="1:4" x14ac:dyDescent="0.35">
      <c r="A113">
        <v>1080</v>
      </c>
      <c r="B113" t="s">
        <v>327</v>
      </c>
      <c r="C113" t="s">
        <v>327</v>
      </c>
      <c r="D113" s="2">
        <v>45753</v>
      </c>
    </row>
    <row r="114" spans="1:4" x14ac:dyDescent="0.35">
      <c r="A114">
        <v>1055</v>
      </c>
      <c r="B114" t="s">
        <v>328</v>
      </c>
      <c r="C114" t="s">
        <v>328</v>
      </c>
      <c r="D114" s="2">
        <v>45739</v>
      </c>
    </row>
    <row r="115" spans="1:4" x14ac:dyDescent="0.35">
      <c r="A115">
        <v>1116</v>
      </c>
      <c r="B115" t="s">
        <v>413</v>
      </c>
      <c r="C115" t="s">
        <v>413</v>
      </c>
      <c r="D115" s="2">
        <v>45842</v>
      </c>
    </row>
    <row r="116" spans="1:4" x14ac:dyDescent="0.35">
      <c r="A116">
        <v>1142</v>
      </c>
      <c r="B116" t="s">
        <v>460</v>
      </c>
      <c r="C116" t="s">
        <v>460</v>
      </c>
      <c r="D116" s="2">
        <v>45878</v>
      </c>
    </row>
    <row r="117" spans="1:4" x14ac:dyDescent="0.35">
      <c r="A117">
        <v>1021</v>
      </c>
      <c r="B117" t="s">
        <v>329</v>
      </c>
      <c r="C117" t="s">
        <v>329</v>
      </c>
      <c r="D117" s="2">
        <v>45625</v>
      </c>
    </row>
    <row r="118" spans="1:4" x14ac:dyDescent="0.35">
      <c r="A118">
        <v>1022</v>
      </c>
      <c r="B118" t="s">
        <v>330</v>
      </c>
      <c r="C118" t="s">
        <v>330</v>
      </c>
      <c r="D118" s="2">
        <v>45626</v>
      </c>
    </row>
    <row r="119" spans="1:4" x14ac:dyDescent="0.35">
      <c r="A119">
        <v>1122</v>
      </c>
      <c r="B119" t="s">
        <v>421</v>
      </c>
      <c r="C119" t="s">
        <v>422</v>
      </c>
      <c r="D119" s="2">
        <v>45800</v>
      </c>
    </row>
    <row r="120" spans="1:4" x14ac:dyDescent="0.35">
      <c r="A120">
        <v>1012</v>
      </c>
      <c r="B120" t="s">
        <v>331</v>
      </c>
      <c r="C120" t="s">
        <v>331</v>
      </c>
      <c r="D120" s="2">
        <v>45627</v>
      </c>
    </row>
    <row r="121" spans="1:4" x14ac:dyDescent="0.35">
      <c r="A121">
        <v>1048</v>
      </c>
      <c r="B121" t="s">
        <v>332</v>
      </c>
      <c r="C121" t="s">
        <v>333</v>
      </c>
      <c r="D121" s="2">
        <v>45690</v>
      </c>
    </row>
    <row r="122" spans="1:4" x14ac:dyDescent="0.35">
      <c r="A122">
        <v>1086</v>
      </c>
      <c r="B122" t="s">
        <v>334</v>
      </c>
      <c r="C122" t="s">
        <v>334</v>
      </c>
      <c r="D122" s="2">
        <v>45765</v>
      </c>
    </row>
    <row r="123" spans="1:4" x14ac:dyDescent="0.35">
      <c r="A123">
        <v>1027</v>
      </c>
      <c r="B123" t="s">
        <v>335</v>
      </c>
      <c r="C123" t="s">
        <v>335</v>
      </c>
      <c r="D123" s="2">
        <v>45627</v>
      </c>
    </row>
    <row r="124" spans="1:4" x14ac:dyDescent="0.35">
      <c r="A124">
        <v>1115</v>
      </c>
      <c r="B124" t="s">
        <v>414</v>
      </c>
      <c r="C124" t="s">
        <v>414</v>
      </c>
      <c r="D124" s="2">
        <v>45936</v>
      </c>
    </row>
    <row r="125" spans="1:4" x14ac:dyDescent="0.35">
      <c r="A125">
        <v>1105</v>
      </c>
      <c r="B125" t="s">
        <v>402</v>
      </c>
      <c r="C125" t="s">
        <v>402</v>
      </c>
      <c r="D125" s="2">
        <v>45872</v>
      </c>
    </row>
    <row r="126" spans="1:4" x14ac:dyDescent="0.35">
      <c r="A126">
        <v>1034</v>
      </c>
      <c r="B126" t="s">
        <v>336</v>
      </c>
      <c r="C126" t="s">
        <v>336</v>
      </c>
      <c r="D126" s="2">
        <v>45625</v>
      </c>
    </row>
    <row r="127" spans="1:4" x14ac:dyDescent="0.35">
      <c r="A127">
        <v>1033</v>
      </c>
      <c r="B127" t="s">
        <v>337</v>
      </c>
      <c r="C127" t="s">
        <v>337</v>
      </c>
      <c r="D127" s="2">
        <v>45626</v>
      </c>
    </row>
    <row r="128" spans="1:4" x14ac:dyDescent="0.35">
      <c r="A128">
        <v>1017</v>
      </c>
      <c r="B128" t="s">
        <v>338</v>
      </c>
      <c r="C128" t="s">
        <v>338</v>
      </c>
      <c r="D128" s="2">
        <v>45611</v>
      </c>
    </row>
    <row r="129" spans="1:4" x14ac:dyDescent="0.35">
      <c r="A129">
        <v>1106</v>
      </c>
      <c r="B129" t="s">
        <v>403</v>
      </c>
      <c r="C129" t="s">
        <v>404</v>
      </c>
      <c r="D129" s="2">
        <v>45765</v>
      </c>
    </row>
    <row r="130" spans="1:4" x14ac:dyDescent="0.35">
      <c r="A130">
        <v>1152</v>
      </c>
      <c r="B130" t="s">
        <v>490</v>
      </c>
      <c r="C130" t="s">
        <v>490</v>
      </c>
      <c r="D130" s="2">
        <v>45891</v>
      </c>
    </row>
    <row r="131" spans="1:4" x14ac:dyDescent="0.35">
      <c r="A131">
        <v>1046</v>
      </c>
      <c r="B131" t="s">
        <v>339</v>
      </c>
      <c r="C131" t="s">
        <v>339</v>
      </c>
      <c r="D131" s="2">
        <v>45674</v>
      </c>
    </row>
    <row r="132" spans="1:4" x14ac:dyDescent="0.35">
      <c r="A132">
        <v>1121</v>
      </c>
      <c r="B132" t="s">
        <v>423</v>
      </c>
      <c r="C132" t="s">
        <v>423</v>
      </c>
      <c r="D132" s="2">
        <v>45828</v>
      </c>
    </row>
    <row r="133" spans="1:4" x14ac:dyDescent="0.35">
      <c r="A133">
        <v>1043</v>
      </c>
      <c r="B133" t="s">
        <v>340</v>
      </c>
      <c r="C133" t="s">
        <v>340</v>
      </c>
      <c r="D133" s="2">
        <v>45716</v>
      </c>
    </row>
    <row r="134" spans="1:4" x14ac:dyDescent="0.35">
      <c r="A134">
        <v>1088</v>
      </c>
      <c r="B134" t="s">
        <v>341</v>
      </c>
      <c r="C134" t="s">
        <v>341</v>
      </c>
      <c r="D134" s="2">
        <v>45762</v>
      </c>
    </row>
    <row r="135" spans="1:4" x14ac:dyDescent="0.35">
      <c r="A135">
        <v>1108</v>
      </c>
      <c r="B135" t="s">
        <v>405</v>
      </c>
      <c r="C135" t="s">
        <v>405</v>
      </c>
      <c r="D135" s="2">
        <v>45768</v>
      </c>
    </row>
    <row r="136" spans="1:4" x14ac:dyDescent="0.35">
      <c r="A136">
        <v>1098</v>
      </c>
      <c r="B136" t="s">
        <v>366</v>
      </c>
      <c r="C136" t="s">
        <v>366</v>
      </c>
      <c r="D136" s="2">
        <v>45765</v>
      </c>
    </row>
    <row r="137" spans="1:4" x14ac:dyDescent="0.35">
      <c r="A137">
        <v>1109</v>
      </c>
      <c r="B137" t="s">
        <v>406</v>
      </c>
      <c r="C137" t="s">
        <v>406</v>
      </c>
      <c r="D137" s="2">
        <v>45870</v>
      </c>
    </row>
    <row r="138" spans="1:4" x14ac:dyDescent="0.35">
      <c r="A138">
        <v>1154</v>
      </c>
      <c r="B138" t="s">
        <v>496</v>
      </c>
      <c r="C138" t="s">
        <v>496</v>
      </c>
      <c r="D138" s="2">
        <v>45919</v>
      </c>
    </row>
    <row r="139" spans="1:4" x14ac:dyDescent="0.35">
      <c r="A139">
        <v>1058</v>
      </c>
      <c r="B139" t="s">
        <v>342</v>
      </c>
      <c r="C139" t="s">
        <v>343</v>
      </c>
      <c r="D139" s="2">
        <v>45688</v>
      </c>
    </row>
    <row r="140" spans="1:4" x14ac:dyDescent="0.35">
      <c r="A140">
        <v>1117</v>
      </c>
      <c r="B140" t="s">
        <v>417</v>
      </c>
      <c r="C140" t="s">
        <v>417</v>
      </c>
      <c r="D140" s="2">
        <v>45842</v>
      </c>
    </row>
    <row r="141" spans="1:4" x14ac:dyDescent="0.35">
      <c r="A141">
        <v>1132</v>
      </c>
      <c r="B141" t="s">
        <v>461</v>
      </c>
      <c r="C141" t="s">
        <v>461</v>
      </c>
      <c r="D141" s="2">
        <v>45898</v>
      </c>
    </row>
    <row r="142" spans="1:4" x14ac:dyDescent="0.35">
      <c r="A142">
        <v>1067</v>
      </c>
      <c r="B142" t="s">
        <v>344</v>
      </c>
      <c r="C142" t="s">
        <v>344</v>
      </c>
      <c r="D142" s="2">
        <v>45767</v>
      </c>
    </row>
    <row r="143" spans="1:4" x14ac:dyDescent="0.35">
      <c r="A143">
        <v>1170</v>
      </c>
      <c r="B143" t="s">
        <v>517</v>
      </c>
      <c r="C143" t="s">
        <v>517</v>
      </c>
      <c r="D143" s="2">
        <v>45875</v>
      </c>
    </row>
    <row r="144" spans="1:4" x14ac:dyDescent="0.35">
      <c r="A144">
        <v>1118</v>
      </c>
      <c r="B144" t="s">
        <v>418</v>
      </c>
      <c r="C144" t="s">
        <v>418</v>
      </c>
      <c r="D144" s="2">
        <v>45807</v>
      </c>
    </row>
    <row r="145" spans="1:4" x14ac:dyDescent="0.35">
      <c r="A145">
        <v>1140</v>
      </c>
      <c r="B145" t="s">
        <v>462</v>
      </c>
      <c r="C145" t="s">
        <v>462</v>
      </c>
      <c r="D145" s="2">
        <v>45933</v>
      </c>
    </row>
    <row r="146" spans="1:4" x14ac:dyDescent="0.35">
      <c r="A146">
        <v>1081</v>
      </c>
      <c r="B146" t="s">
        <v>345</v>
      </c>
      <c r="C146" t="s">
        <v>345</v>
      </c>
      <c r="D146" s="2">
        <v>45688</v>
      </c>
    </row>
    <row r="147" spans="1:4" x14ac:dyDescent="0.35">
      <c r="A147">
        <v>1160</v>
      </c>
      <c r="B147" t="s">
        <v>518</v>
      </c>
      <c r="C147" t="s">
        <v>518</v>
      </c>
      <c r="D147" s="2">
        <v>45930</v>
      </c>
    </row>
    <row r="148" spans="1:4" x14ac:dyDescent="0.35">
      <c r="A148">
        <v>1123</v>
      </c>
      <c r="B148" t="s">
        <v>463</v>
      </c>
      <c r="C148" t="s">
        <v>463</v>
      </c>
      <c r="D148" s="2">
        <v>45807</v>
      </c>
    </row>
    <row r="149" spans="1:4" x14ac:dyDescent="0.35">
      <c r="A149">
        <v>1075</v>
      </c>
      <c r="B149" t="s">
        <v>346</v>
      </c>
      <c r="C149" t="s">
        <v>346</v>
      </c>
      <c r="D149" s="2">
        <v>45744</v>
      </c>
    </row>
    <row r="150" spans="1:4" x14ac:dyDescent="0.35">
      <c r="A150">
        <v>1138</v>
      </c>
      <c r="B150" t="s">
        <v>464</v>
      </c>
      <c r="C150" t="s">
        <v>464</v>
      </c>
      <c r="D150" s="2">
        <v>45869</v>
      </c>
    </row>
    <row r="151" spans="1:4" x14ac:dyDescent="0.35">
      <c r="A151">
        <v>1139</v>
      </c>
      <c r="B151" t="s">
        <v>465</v>
      </c>
      <c r="C151" t="s">
        <v>465</v>
      </c>
      <c r="D151" s="2">
        <v>45884</v>
      </c>
    </row>
    <row r="152" spans="1:4" x14ac:dyDescent="0.35">
      <c r="A152">
        <v>1064</v>
      </c>
      <c r="B152" t="s">
        <v>347</v>
      </c>
      <c r="C152" t="s">
        <v>347</v>
      </c>
      <c r="D152" s="2">
        <v>45690</v>
      </c>
    </row>
    <row r="153" spans="1:4" x14ac:dyDescent="0.35">
      <c r="A153">
        <v>1168</v>
      </c>
      <c r="B153" t="s">
        <v>519</v>
      </c>
      <c r="C153" t="s">
        <v>519</v>
      </c>
      <c r="D153" s="2">
        <v>45933</v>
      </c>
    </row>
    <row r="154" spans="1:4" x14ac:dyDescent="0.35">
      <c r="A154">
        <v>1167</v>
      </c>
      <c r="B154" t="s">
        <v>520</v>
      </c>
      <c r="C154" t="s">
        <v>520</v>
      </c>
      <c r="D154" s="2">
        <v>45891</v>
      </c>
    </row>
    <row r="155" spans="1:4" x14ac:dyDescent="0.35">
      <c r="A155">
        <v>1150</v>
      </c>
      <c r="B155" t="s">
        <v>491</v>
      </c>
      <c r="C155" t="s">
        <v>491</v>
      </c>
      <c r="D155" s="2">
        <v>45859</v>
      </c>
    </row>
    <row r="156" spans="1:4" x14ac:dyDescent="0.35">
      <c r="A156">
        <v>1173</v>
      </c>
      <c r="B156" t="s">
        <v>521</v>
      </c>
      <c r="C156" t="s">
        <v>521</v>
      </c>
      <c r="D156" s="2">
        <v>45933</v>
      </c>
    </row>
    <row r="157" spans="1:4" x14ac:dyDescent="0.35">
      <c r="A157">
        <v>1057</v>
      </c>
      <c r="B157" t="s">
        <v>348</v>
      </c>
      <c r="C157" t="s">
        <v>348</v>
      </c>
      <c r="D157" s="2">
        <v>45690</v>
      </c>
    </row>
    <row r="158" spans="1:4" x14ac:dyDescent="0.35">
      <c r="A158">
        <v>1114</v>
      </c>
      <c r="B158" t="s">
        <v>415</v>
      </c>
      <c r="C158" t="s">
        <v>416</v>
      </c>
      <c r="D158" s="2">
        <v>45786</v>
      </c>
    </row>
    <row r="159" spans="1:4" x14ac:dyDescent="0.35">
      <c r="A159">
        <v>1002</v>
      </c>
      <c r="B159" t="s">
        <v>349</v>
      </c>
      <c r="C159" t="s">
        <v>349</v>
      </c>
      <c r="D159" s="2">
        <v>45635</v>
      </c>
    </row>
    <row r="160" spans="1:4" x14ac:dyDescent="0.35">
      <c r="A160">
        <v>1003</v>
      </c>
      <c r="B160" t="s">
        <v>350</v>
      </c>
      <c r="C160" t="s">
        <v>350</v>
      </c>
      <c r="D160" s="2">
        <v>45625</v>
      </c>
    </row>
    <row r="161" spans="1:4" x14ac:dyDescent="0.35">
      <c r="A161">
        <v>1025</v>
      </c>
      <c r="B161" t="s">
        <v>351</v>
      </c>
      <c r="C161" t="s">
        <v>350</v>
      </c>
      <c r="D161" s="2">
        <v>45590</v>
      </c>
    </row>
    <row r="162" spans="1:4" x14ac:dyDescent="0.35">
      <c r="A162">
        <v>1076</v>
      </c>
      <c r="B162" t="s">
        <v>352</v>
      </c>
      <c r="C162" t="s">
        <v>352</v>
      </c>
      <c r="D162" s="2">
        <v>45766</v>
      </c>
    </row>
    <row r="163" spans="1:4" x14ac:dyDescent="0.35">
      <c r="A163">
        <v>1156</v>
      </c>
      <c r="B163" t="s">
        <v>522</v>
      </c>
      <c r="C163" t="s">
        <v>522</v>
      </c>
      <c r="D163" s="2">
        <v>45921</v>
      </c>
    </row>
    <row r="164" spans="1:4" x14ac:dyDescent="0.35">
      <c r="A164">
        <v>1036</v>
      </c>
      <c r="B164" t="s">
        <v>353</v>
      </c>
      <c r="C164" t="s">
        <v>353</v>
      </c>
      <c r="D164" s="2">
        <v>45583</v>
      </c>
    </row>
    <row r="165" spans="1:4" x14ac:dyDescent="0.35">
      <c r="A165">
        <v>1054</v>
      </c>
      <c r="B165" t="s">
        <v>354</v>
      </c>
      <c r="C165" t="s">
        <v>354</v>
      </c>
      <c r="D165" s="2">
        <v>45690</v>
      </c>
    </row>
    <row r="166" spans="1:4" x14ac:dyDescent="0.35">
      <c r="A166">
        <v>1092</v>
      </c>
      <c r="B166" t="s">
        <v>360</v>
      </c>
      <c r="C166" t="s">
        <v>360</v>
      </c>
      <c r="D166" s="2">
        <v>45753</v>
      </c>
    </row>
    <row r="167" spans="1:4" x14ac:dyDescent="0.35">
      <c r="A167">
        <v>1126</v>
      </c>
      <c r="B167" t="s">
        <v>466</v>
      </c>
      <c r="C167" t="s">
        <v>466</v>
      </c>
      <c r="D167" s="2">
        <v>45858</v>
      </c>
    </row>
    <row r="168" spans="1:4" x14ac:dyDescent="0.35">
      <c r="A168">
        <v>1127</v>
      </c>
      <c r="B168" t="s">
        <v>467</v>
      </c>
      <c r="C168" t="s">
        <v>467</v>
      </c>
      <c r="D168" s="2">
        <v>45807</v>
      </c>
    </row>
    <row r="169" spans="1:4" x14ac:dyDescent="0.35">
      <c r="A169">
        <v>1144</v>
      </c>
      <c r="B169" t="s">
        <v>468</v>
      </c>
      <c r="C169" t="s">
        <v>468</v>
      </c>
      <c r="D169" s="2">
        <v>45921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A4493-7498-40A6-96F1-E3A5F7B435AF}">
  <sheetPr codeName="Sheet6"/>
  <dimension ref="A1:B4"/>
  <sheetViews>
    <sheetView workbookViewId="0">
      <selection sqref="A1:XFD1048576"/>
    </sheetView>
  </sheetViews>
  <sheetFormatPr defaultRowHeight="14.4" x14ac:dyDescent="0.35"/>
  <cols>
    <col min="1" max="1" width="10" bestFit="1" customWidth="1"/>
    <col min="2" max="2" width="30.88671875" bestFit="1" customWidth="1"/>
  </cols>
  <sheetData>
    <row r="1" spans="1:2" x14ac:dyDescent="0.35">
      <c r="A1" t="s">
        <v>100</v>
      </c>
      <c r="B1" t="s">
        <v>260</v>
      </c>
    </row>
    <row r="2" spans="1:2" x14ac:dyDescent="0.35">
      <c r="A2" t="s">
        <v>101</v>
      </c>
      <c r="B2" t="s">
        <v>102</v>
      </c>
    </row>
    <row r="3" spans="1:2" x14ac:dyDescent="0.35">
      <c r="A3" t="s">
        <v>103</v>
      </c>
      <c r="B3" t="s">
        <v>262</v>
      </c>
    </row>
    <row r="4" spans="1:2" x14ac:dyDescent="0.35">
      <c r="A4"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92CF-AD42-4123-8EB4-F2780CC080CE}">
  <sheetPr codeName="Sheet5"/>
  <dimension ref="A1:E5"/>
  <sheetViews>
    <sheetView workbookViewId="0">
      <selection sqref="A1:XFD1048576"/>
    </sheetView>
  </sheetViews>
  <sheetFormatPr defaultRowHeight="14.4" x14ac:dyDescent="0.35"/>
  <cols>
    <col min="1" max="1" width="13" bestFit="1" customWidth="1"/>
    <col min="2" max="2" width="12.6640625" bestFit="1" customWidth="1"/>
    <col min="3" max="3" width="11.5546875" bestFit="1" customWidth="1"/>
    <col min="4" max="4" width="11.44140625" bestFit="1" customWidth="1"/>
    <col min="5" max="5" width="10.33203125" bestFit="1" customWidth="1"/>
  </cols>
  <sheetData>
    <row r="1" spans="1:5" x14ac:dyDescent="0.35">
      <c r="A1" t="s">
        <v>106</v>
      </c>
      <c r="B1" t="s">
        <v>107</v>
      </c>
      <c r="C1" t="s">
        <v>108</v>
      </c>
      <c r="D1" t="s">
        <v>109</v>
      </c>
      <c r="E1" t="s">
        <v>110</v>
      </c>
    </row>
    <row r="2" spans="1:5" x14ac:dyDescent="0.35">
      <c r="A2" t="s">
        <v>685</v>
      </c>
      <c r="B2" s="3">
        <v>45754</v>
      </c>
      <c r="D2" s="3">
        <v>45779</v>
      </c>
    </row>
    <row r="3" spans="1:5" x14ac:dyDescent="0.35">
      <c r="A3" t="s">
        <v>686</v>
      </c>
      <c r="B3" s="3">
        <v>45782</v>
      </c>
      <c r="D3" s="3">
        <v>45812</v>
      </c>
    </row>
    <row r="4" spans="1:5" x14ac:dyDescent="0.35">
      <c r="A4" t="s">
        <v>687</v>
      </c>
      <c r="B4" s="3">
        <v>45813</v>
      </c>
      <c r="D4" s="3">
        <v>45833</v>
      </c>
    </row>
    <row r="5" spans="1:5" x14ac:dyDescent="0.35">
      <c r="A5" t="s">
        <v>688</v>
      </c>
      <c r="B5" s="3">
        <v>45834</v>
      </c>
      <c r="D5" s="3">
        <v>45847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00AB-1003-4EE0-BD9E-8B6533B22E0D}">
  <sheetPr codeName="Sheet2"/>
  <dimension ref="A1:E29"/>
  <sheetViews>
    <sheetView workbookViewId="0">
      <selection sqref="A1:XFD1048576"/>
    </sheetView>
  </sheetViews>
  <sheetFormatPr defaultRowHeight="14.4" x14ac:dyDescent="0.35"/>
  <cols>
    <col min="1" max="1" width="11.44140625" bestFit="1" customWidth="1"/>
    <col min="2" max="2" width="15.88671875" bestFit="1" customWidth="1"/>
    <col min="3" max="3" width="12.44140625" bestFit="1" customWidth="1"/>
    <col min="4" max="4" width="16.88671875" bestFit="1" customWidth="1"/>
    <col min="5" max="5" width="11.109375" bestFit="1" customWidth="1"/>
  </cols>
  <sheetData>
    <row r="1" spans="1:5" x14ac:dyDescent="0.35">
      <c r="A1" t="s">
        <v>125</v>
      </c>
      <c r="B1" t="s">
        <v>111</v>
      </c>
      <c r="C1" t="s">
        <v>112</v>
      </c>
      <c r="D1" t="s">
        <v>113</v>
      </c>
      <c r="E1" t="s">
        <v>114</v>
      </c>
    </row>
    <row r="2" spans="1:5" x14ac:dyDescent="0.35">
      <c r="A2" t="s">
        <v>685</v>
      </c>
      <c r="B2" t="s">
        <v>115</v>
      </c>
      <c r="C2">
        <v>0</v>
      </c>
      <c r="D2">
        <v>0</v>
      </c>
    </row>
    <row r="3" spans="1:5" x14ac:dyDescent="0.35">
      <c r="A3" t="s">
        <v>685</v>
      </c>
      <c r="B3" t="s">
        <v>116</v>
      </c>
      <c r="C3">
        <v>0</v>
      </c>
      <c r="D3">
        <v>0</v>
      </c>
    </row>
    <row r="4" spans="1:5" x14ac:dyDescent="0.35">
      <c r="A4" t="s">
        <v>685</v>
      </c>
      <c r="B4" t="s">
        <v>117</v>
      </c>
      <c r="C4">
        <v>0</v>
      </c>
      <c r="D4">
        <v>0</v>
      </c>
    </row>
    <row r="5" spans="1:5" x14ac:dyDescent="0.35">
      <c r="A5" t="s">
        <v>685</v>
      </c>
      <c r="B5" t="s">
        <v>118</v>
      </c>
      <c r="C5">
        <v>0</v>
      </c>
      <c r="D5">
        <v>0</v>
      </c>
    </row>
    <row r="6" spans="1:5" x14ac:dyDescent="0.35">
      <c r="A6" t="s">
        <v>685</v>
      </c>
      <c r="B6" t="s">
        <v>119</v>
      </c>
      <c r="C6">
        <v>0</v>
      </c>
      <c r="D6">
        <v>0</v>
      </c>
    </row>
    <row r="7" spans="1:5" x14ac:dyDescent="0.35">
      <c r="A7" t="s">
        <v>685</v>
      </c>
      <c r="B7" t="s">
        <v>120</v>
      </c>
      <c r="C7">
        <v>0</v>
      </c>
      <c r="D7">
        <v>0</v>
      </c>
    </row>
    <row r="8" spans="1:5" x14ac:dyDescent="0.35">
      <c r="A8" t="s">
        <v>685</v>
      </c>
      <c r="B8" t="s">
        <v>121</v>
      </c>
      <c r="C8">
        <v>0</v>
      </c>
      <c r="D8">
        <v>0</v>
      </c>
    </row>
    <row r="9" spans="1:5" x14ac:dyDescent="0.35">
      <c r="A9" t="s">
        <v>686</v>
      </c>
      <c r="B9" t="s">
        <v>115</v>
      </c>
      <c r="C9">
        <v>0</v>
      </c>
      <c r="D9">
        <v>0</v>
      </c>
    </row>
    <row r="10" spans="1:5" x14ac:dyDescent="0.35">
      <c r="A10" t="s">
        <v>686</v>
      </c>
      <c r="B10" t="s">
        <v>116</v>
      </c>
      <c r="C10">
        <v>0</v>
      </c>
      <c r="D10">
        <v>0</v>
      </c>
    </row>
    <row r="11" spans="1:5" x14ac:dyDescent="0.35">
      <c r="A11" t="s">
        <v>686</v>
      </c>
      <c r="B11" t="s">
        <v>117</v>
      </c>
      <c r="C11">
        <v>0</v>
      </c>
      <c r="D11">
        <v>0</v>
      </c>
    </row>
    <row r="12" spans="1:5" x14ac:dyDescent="0.35">
      <c r="A12" t="s">
        <v>686</v>
      </c>
      <c r="B12" t="s">
        <v>118</v>
      </c>
      <c r="C12">
        <v>0</v>
      </c>
      <c r="D12">
        <v>0</v>
      </c>
    </row>
    <row r="13" spans="1:5" x14ac:dyDescent="0.35">
      <c r="A13" t="s">
        <v>686</v>
      </c>
      <c r="B13" t="s">
        <v>119</v>
      </c>
      <c r="C13">
        <v>0</v>
      </c>
      <c r="D13">
        <v>0</v>
      </c>
    </row>
    <row r="14" spans="1:5" x14ac:dyDescent="0.35">
      <c r="A14" t="s">
        <v>686</v>
      </c>
      <c r="B14" t="s">
        <v>120</v>
      </c>
      <c r="C14">
        <v>0</v>
      </c>
      <c r="D14">
        <v>0</v>
      </c>
    </row>
    <row r="15" spans="1:5" x14ac:dyDescent="0.35">
      <c r="A15" t="s">
        <v>686</v>
      </c>
      <c r="B15" t="s">
        <v>121</v>
      </c>
      <c r="C15">
        <v>0</v>
      </c>
      <c r="D15">
        <v>0</v>
      </c>
    </row>
    <row r="16" spans="1:5" x14ac:dyDescent="0.35">
      <c r="A16" t="s">
        <v>687</v>
      </c>
      <c r="B16" t="s">
        <v>115</v>
      </c>
      <c r="C16">
        <v>0</v>
      </c>
      <c r="D16">
        <v>0</v>
      </c>
    </row>
    <row r="17" spans="1:4" x14ac:dyDescent="0.35">
      <c r="A17" t="s">
        <v>687</v>
      </c>
      <c r="B17" t="s">
        <v>116</v>
      </c>
      <c r="C17">
        <v>0</v>
      </c>
      <c r="D17">
        <v>0</v>
      </c>
    </row>
    <row r="18" spans="1:4" x14ac:dyDescent="0.35">
      <c r="A18" t="s">
        <v>687</v>
      </c>
      <c r="B18" t="s">
        <v>117</v>
      </c>
      <c r="C18">
        <v>0</v>
      </c>
      <c r="D18">
        <v>0</v>
      </c>
    </row>
    <row r="19" spans="1:4" x14ac:dyDescent="0.35">
      <c r="A19" t="s">
        <v>687</v>
      </c>
      <c r="B19" t="s">
        <v>118</v>
      </c>
      <c r="C19">
        <v>0</v>
      </c>
      <c r="D19">
        <v>0</v>
      </c>
    </row>
    <row r="20" spans="1:4" x14ac:dyDescent="0.35">
      <c r="A20" t="s">
        <v>687</v>
      </c>
      <c r="B20" t="s">
        <v>119</v>
      </c>
      <c r="C20">
        <v>0</v>
      </c>
      <c r="D20">
        <v>0</v>
      </c>
    </row>
    <row r="21" spans="1:4" x14ac:dyDescent="0.35">
      <c r="A21" t="s">
        <v>687</v>
      </c>
      <c r="B21" t="s">
        <v>120</v>
      </c>
      <c r="C21">
        <v>0</v>
      </c>
      <c r="D21">
        <v>0</v>
      </c>
    </row>
    <row r="22" spans="1:4" x14ac:dyDescent="0.35">
      <c r="A22" t="s">
        <v>687</v>
      </c>
      <c r="B22" t="s">
        <v>121</v>
      </c>
      <c r="C22">
        <v>0</v>
      </c>
      <c r="D22">
        <v>0</v>
      </c>
    </row>
    <row r="23" spans="1:4" x14ac:dyDescent="0.35">
      <c r="A23" t="s">
        <v>688</v>
      </c>
      <c r="B23" t="s">
        <v>115</v>
      </c>
      <c r="C23">
        <v>0</v>
      </c>
      <c r="D23">
        <v>0</v>
      </c>
    </row>
    <row r="24" spans="1:4" x14ac:dyDescent="0.35">
      <c r="A24" t="s">
        <v>688</v>
      </c>
      <c r="B24" t="s">
        <v>116</v>
      </c>
      <c r="C24">
        <v>0</v>
      </c>
      <c r="D24">
        <v>0</v>
      </c>
    </row>
    <row r="25" spans="1:4" x14ac:dyDescent="0.35">
      <c r="A25" t="s">
        <v>688</v>
      </c>
      <c r="B25" t="s">
        <v>117</v>
      </c>
      <c r="C25">
        <v>0</v>
      </c>
      <c r="D25">
        <v>0</v>
      </c>
    </row>
    <row r="26" spans="1:4" x14ac:dyDescent="0.35">
      <c r="A26" t="s">
        <v>688</v>
      </c>
      <c r="B26" t="s">
        <v>118</v>
      </c>
      <c r="C26">
        <v>0</v>
      </c>
      <c r="D26">
        <v>0</v>
      </c>
    </row>
    <row r="27" spans="1:4" x14ac:dyDescent="0.35">
      <c r="A27" t="s">
        <v>688</v>
      </c>
      <c r="B27" t="s">
        <v>119</v>
      </c>
      <c r="C27">
        <v>0</v>
      </c>
      <c r="D27">
        <v>0</v>
      </c>
    </row>
    <row r="28" spans="1:4" x14ac:dyDescent="0.35">
      <c r="A28" t="s">
        <v>688</v>
      </c>
      <c r="B28" t="s">
        <v>120</v>
      </c>
      <c r="C28">
        <v>0</v>
      </c>
      <c r="D28">
        <v>0</v>
      </c>
    </row>
    <row r="29" spans="1:4" x14ac:dyDescent="0.35">
      <c r="A29" t="s">
        <v>688</v>
      </c>
      <c r="B29" t="s">
        <v>121</v>
      </c>
      <c r="C29">
        <v>0</v>
      </c>
      <c r="D2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C632-9647-425B-B366-061C18D76194}">
  <sheetPr codeName="Sheet3"/>
  <dimension ref="A1:F33"/>
  <sheetViews>
    <sheetView workbookViewId="0">
      <selection sqref="A1:XFD1048576"/>
    </sheetView>
  </sheetViews>
  <sheetFormatPr defaultRowHeight="14.4" x14ac:dyDescent="0.35"/>
  <cols>
    <col min="1" max="1" width="11.44140625" bestFit="1" customWidth="1"/>
    <col min="2" max="2" width="25.44140625" bestFit="1" customWidth="1"/>
    <col min="3" max="3" width="12.44140625" bestFit="1" customWidth="1"/>
    <col min="4" max="4" width="26.5546875" bestFit="1" customWidth="1"/>
    <col min="5" max="5" width="19" bestFit="1" customWidth="1"/>
    <col min="6" max="6" width="11.109375" bestFit="1" customWidth="1"/>
  </cols>
  <sheetData>
    <row r="1" spans="1:6" x14ac:dyDescent="0.35">
      <c r="A1" t="s">
        <v>125</v>
      </c>
      <c r="B1" t="s">
        <v>122</v>
      </c>
      <c r="C1" t="s">
        <v>112</v>
      </c>
      <c r="D1" t="s">
        <v>123</v>
      </c>
      <c r="E1" t="s">
        <v>124</v>
      </c>
      <c r="F1" t="s">
        <v>114</v>
      </c>
    </row>
    <row r="2" spans="1:6" x14ac:dyDescent="0.35">
      <c r="A2" t="s">
        <v>685</v>
      </c>
      <c r="B2" t="s">
        <v>236</v>
      </c>
      <c r="C2">
        <v>126</v>
      </c>
      <c r="D2">
        <v>290</v>
      </c>
    </row>
    <row r="3" spans="1:6" x14ac:dyDescent="0.35">
      <c r="A3" t="s">
        <v>685</v>
      </c>
      <c r="B3" t="s">
        <v>115</v>
      </c>
      <c r="C3">
        <v>61</v>
      </c>
      <c r="D3">
        <v>149</v>
      </c>
    </row>
    <row r="4" spans="1:6" x14ac:dyDescent="0.35">
      <c r="A4" t="s">
        <v>685</v>
      </c>
      <c r="B4" t="s">
        <v>116</v>
      </c>
      <c r="C4">
        <v>60</v>
      </c>
      <c r="D4">
        <v>143</v>
      </c>
    </row>
    <row r="5" spans="1:6" x14ac:dyDescent="0.35">
      <c r="A5" t="s">
        <v>685</v>
      </c>
      <c r="B5" t="s">
        <v>117</v>
      </c>
      <c r="C5">
        <v>1</v>
      </c>
      <c r="D5">
        <v>6</v>
      </c>
    </row>
    <row r="6" spans="1:6" x14ac:dyDescent="0.35">
      <c r="A6" t="s">
        <v>685</v>
      </c>
      <c r="B6" t="s">
        <v>118</v>
      </c>
      <c r="C6">
        <v>0</v>
      </c>
      <c r="D6">
        <v>0</v>
      </c>
    </row>
    <row r="7" spans="1:6" x14ac:dyDescent="0.35">
      <c r="A7" t="s">
        <v>685</v>
      </c>
      <c r="B7" t="s">
        <v>119</v>
      </c>
      <c r="C7">
        <v>0</v>
      </c>
      <c r="D7">
        <v>0</v>
      </c>
    </row>
    <row r="8" spans="1:6" x14ac:dyDescent="0.35">
      <c r="A8" t="s">
        <v>685</v>
      </c>
      <c r="B8" t="s">
        <v>120</v>
      </c>
      <c r="C8">
        <v>0</v>
      </c>
      <c r="D8">
        <v>0</v>
      </c>
    </row>
    <row r="9" spans="1:6" x14ac:dyDescent="0.35">
      <c r="A9" t="s">
        <v>685</v>
      </c>
      <c r="B9" t="s">
        <v>121</v>
      </c>
      <c r="C9">
        <v>0</v>
      </c>
      <c r="D9">
        <v>0</v>
      </c>
    </row>
    <row r="10" spans="1:6" x14ac:dyDescent="0.35">
      <c r="A10" t="s">
        <v>686</v>
      </c>
      <c r="B10" t="s">
        <v>236</v>
      </c>
      <c r="C10">
        <v>142</v>
      </c>
      <c r="D10">
        <v>378</v>
      </c>
    </row>
    <row r="11" spans="1:6" x14ac:dyDescent="0.35">
      <c r="A11" t="s">
        <v>686</v>
      </c>
      <c r="B11" t="s">
        <v>115</v>
      </c>
      <c r="C11">
        <v>142</v>
      </c>
      <c r="D11">
        <v>378</v>
      </c>
    </row>
    <row r="12" spans="1:6" x14ac:dyDescent="0.35">
      <c r="A12" t="s">
        <v>686</v>
      </c>
      <c r="B12" t="s">
        <v>116</v>
      </c>
      <c r="C12">
        <v>141</v>
      </c>
      <c r="D12">
        <v>378</v>
      </c>
    </row>
    <row r="13" spans="1:6" x14ac:dyDescent="0.35">
      <c r="A13" t="s">
        <v>686</v>
      </c>
      <c r="B13" t="s">
        <v>117</v>
      </c>
      <c r="C13">
        <v>1</v>
      </c>
      <c r="D13">
        <v>0</v>
      </c>
    </row>
    <row r="14" spans="1:6" x14ac:dyDescent="0.35">
      <c r="A14" t="s">
        <v>686</v>
      </c>
      <c r="B14" t="s">
        <v>118</v>
      </c>
      <c r="C14">
        <v>0</v>
      </c>
      <c r="D14">
        <v>0</v>
      </c>
    </row>
    <row r="15" spans="1:6" x14ac:dyDescent="0.35">
      <c r="A15" t="s">
        <v>686</v>
      </c>
      <c r="B15" t="s">
        <v>119</v>
      </c>
      <c r="C15">
        <v>0</v>
      </c>
      <c r="D15">
        <v>0</v>
      </c>
    </row>
    <row r="16" spans="1:6" x14ac:dyDescent="0.35">
      <c r="A16" t="s">
        <v>686</v>
      </c>
      <c r="B16" t="s">
        <v>120</v>
      </c>
      <c r="C16">
        <v>0</v>
      </c>
      <c r="D16">
        <v>0</v>
      </c>
    </row>
    <row r="17" spans="1:4" x14ac:dyDescent="0.35">
      <c r="A17" t="s">
        <v>686</v>
      </c>
      <c r="B17" t="s">
        <v>121</v>
      </c>
      <c r="C17">
        <v>0</v>
      </c>
      <c r="D17">
        <v>0</v>
      </c>
    </row>
    <row r="18" spans="1:4" x14ac:dyDescent="0.35">
      <c r="A18" t="s">
        <v>687</v>
      </c>
      <c r="B18" t="s">
        <v>236</v>
      </c>
      <c r="C18">
        <v>93</v>
      </c>
      <c r="D18">
        <v>252</v>
      </c>
    </row>
    <row r="19" spans="1:4" x14ac:dyDescent="0.35">
      <c r="A19" t="s">
        <v>687</v>
      </c>
      <c r="B19" t="s">
        <v>115</v>
      </c>
      <c r="C19">
        <v>93</v>
      </c>
      <c r="D19">
        <v>252</v>
      </c>
    </row>
    <row r="20" spans="1:4" x14ac:dyDescent="0.35">
      <c r="A20" t="s">
        <v>687</v>
      </c>
      <c r="B20" t="s">
        <v>116</v>
      </c>
      <c r="C20">
        <v>93</v>
      </c>
      <c r="D20">
        <v>252</v>
      </c>
    </row>
    <row r="21" spans="1:4" x14ac:dyDescent="0.35">
      <c r="A21" t="s">
        <v>687</v>
      </c>
      <c r="B21" t="s">
        <v>117</v>
      </c>
      <c r="C21">
        <v>0</v>
      </c>
      <c r="D21">
        <v>0</v>
      </c>
    </row>
    <row r="22" spans="1:4" x14ac:dyDescent="0.35">
      <c r="A22" t="s">
        <v>687</v>
      </c>
      <c r="B22" t="s">
        <v>118</v>
      </c>
      <c r="C22">
        <v>0</v>
      </c>
      <c r="D22">
        <v>0</v>
      </c>
    </row>
    <row r="23" spans="1:4" x14ac:dyDescent="0.35">
      <c r="A23" t="s">
        <v>687</v>
      </c>
      <c r="B23" t="s">
        <v>119</v>
      </c>
      <c r="C23">
        <v>0</v>
      </c>
      <c r="D23">
        <v>0</v>
      </c>
    </row>
    <row r="24" spans="1:4" x14ac:dyDescent="0.35">
      <c r="A24" t="s">
        <v>687</v>
      </c>
      <c r="B24" t="s">
        <v>120</v>
      </c>
      <c r="C24">
        <v>0</v>
      </c>
      <c r="D24">
        <v>0</v>
      </c>
    </row>
    <row r="25" spans="1:4" x14ac:dyDescent="0.35">
      <c r="A25" t="s">
        <v>687</v>
      </c>
      <c r="B25" t="s">
        <v>121</v>
      </c>
      <c r="C25">
        <v>0</v>
      </c>
      <c r="D25">
        <v>0</v>
      </c>
    </row>
    <row r="26" spans="1:4" x14ac:dyDescent="0.35">
      <c r="A26" t="s">
        <v>688</v>
      </c>
      <c r="B26" t="s">
        <v>236</v>
      </c>
      <c r="C26">
        <v>53</v>
      </c>
      <c r="D26">
        <v>106</v>
      </c>
    </row>
    <row r="27" spans="1:4" x14ac:dyDescent="0.35">
      <c r="A27" t="s">
        <v>688</v>
      </c>
      <c r="B27" t="s">
        <v>115</v>
      </c>
      <c r="C27">
        <v>53</v>
      </c>
      <c r="D27">
        <v>106</v>
      </c>
    </row>
    <row r="28" spans="1:4" x14ac:dyDescent="0.35">
      <c r="A28" t="s">
        <v>688</v>
      </c>
      <c r="B28" t="s">
        <v>116</v>
      </c>
      <c r="C28">
        <v>53</v>
      </c>
      <c r="D28">
        <v>106</v>
      </c>
    </row>
    <row r="29" spans="1:4" x14ac:dyDescent="0.35">
      <c r="A29" t="s">
        <v>688</v>
      </c>
      <c r="B29" t="s">
        <v>117</v>
      </c>
      <c r="C29">
        <v>0</v>
      </c>
      <c r="D29">
        <v>0</v>
      </c>
    </row>
    <row r="30" spans="1:4" x14ac:dyDescent="0.35">
      <c r="A30" t="s">
        <v>688</v>
      </c>
      <c r="B30" t="s">
        <v>118</v>
      </c>
      <c r="C30">
        <v>0</v>
      </c>
      <c r="D30">
        <v>0</v>
      </c>
    </row>
    <row r="31" spans="1:4" x14ac:dyDescent="0.35">
      <c r="A31" t="s">
        <v>688</v>
      </c>
      <c r="B31" t="s">
        <v>119</v>
      </c>
      <c r="C31">
        <v>0</v>
      </c>
      <c r="D31">
        <v>0</v>
      </c>
    </row>
    <row r="32" spans="1:4" x14ac:dyDescent="0.35">
      <c r="A32" t="s">
        <v>688</v>
      </c>
      <c r="B32" t="s">
        <v>120</v>
      </c>
      <c r="C32">
        <v>0</v>
      </c>
      <c r="D32">
        <v>0</v>
      </c>
    </row>
    <row r="33" spans="1:4" x14ac:dyDescent="0.35">
      <c r="A33" t="s">
        <v>688</v>
      </c>
      <c r="B33" t="s">
        <v>121</v>
      </c>
      <c r="C33">
        <v>0</v>
      </c>
      <c r="D33">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68FE-50C7-4D61-AB89-FDFAE44B5D5A}">
  <sheetPr codeName="Sheet7"/>
  <dimension ref="A1:B4"/>
  <sheetViews>
    <sheetView workbookViewId="0">
      <selection sqref="A1:XFD1048576"/>
    </sheetView>
  </sheetViews>
  <sheetFormatPr defaultRowHeight="14.4" x14ac:dyDescent="0.35"/>
  <cols>
    <col min="1" max="1" width="27.5546875" bestFit="1" customWidth="1"/>
    <col min="2" max="2" width="2.109375" bestFit="1" customWidth="1"/>
  </cols>
  <sheetData>
    <row r="1" spans="1:2" x14ac:dyDescent="0.35">
      <c r="A1" t="s">
        <v>126</v>
      </c>
      <c r="B1" t="s">
        <v>127</v>
      </c>
    </row>
    <row r="2" spans="1:2" x14ac:dyDescent="0.35">
      <c r="A2" t="s">
        <v>128</v>
      </c>
      <c r="B2">
        <v>0</v>
      </c>
    </row>
    <row r="3" spans="1:2" x14ac:dyDescent="0.35">
      <c r="A3" t="s">
        <v>129</v>
      </c>
      <c r="B3">
        <v>0</v>
      </c>
    </row>
    <row r="4" spans="1:2" x14ac:dyDescent="0.35">
      <c r="A4" t="s">
        <v>130</v>
      </c>
      <c r="B4">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BCF9-E960-428B-B810-DF0963F21D56}">
  <sheetPr codeName="Sheet10"/>
  <dimension ref="A1:Q17"/>
  <sheetViews>
    <sheetView topLeftCell="E1" workbookViewId="0">
      <selection sqref="A1:XFD1048576"/>
    </sheetView>
  </sheetViews>
  <sheetFormatPr defaultRowHeight="14.4" x14ac:dyDescent="0.35"/>
  <cols>
    <col min="1" max="1" width="11.5546875" bestFit="1" customWidth="1"/>
    <col min="2" max="2" width="9" bestFit="1" customWidth="1"/>
    <col min="3" max="3" width="15.109375" bestFit="1" customWidth="1"/>
    <col min="4" max="4" width="7" bestFit="1" customWidth="1"/>
    <col min="5" max="6" width="31.88671875" bestFit="1" customWidth="1"/>
    <col min="7" max="7" width="14.44140625" bestFit="1" customWidth="1"/>
    <col min="8" max="8" width="4.88671875" bestFit="1" customWidth="1"/>
    <col min="9" max="9" width="7.44140625" bestFit="1" customWidth="1"/>
    <col min="10" max="10" width="5.6640625" bestFit="1" customWidth="1"/>
    <col min="11" max="11" width="8.88671875" bestFit="1" customWidth="1"/>
    <col min="12" max="12" width="7.6640625" bestFit="1" customWidth="1"/>
    <col min="13" max="13" width="7.33203125" bestFit="1" customWidth="1"/>
    <col min="14" max="14" width="8.5546875" bestFit="1" customWidth="1"/>
    <col min="15" max="15" width="8.6640625" bestFit="1" customWidth="1"/>
    <col min="16" max="16" width="6.6640625" bestFit="1" customWidth="1"/>
    <col min="17" max="17" width="5.5546875" bestFit="1" customWidth="1"/>
  </cols>
  <sheetData>
    <row r="1" spans="1:17" x14ac:dyDescent="0.35">
      <c r="A1" t="s">
        <v>40</v>
      </c>
      <c r="B1" t="s">
        <v>132</v>
      </c>
      <c r="C1" t="s">
        <v>133</v>
      </c>
      <c r="D1" t="s">
        <v>47</v>
      </c>
      <c r="E1" t="s">
        <v>48</v>
      </c>
      <c r="F1" t="s">
        <v>105</v>
      </c>
      <c r="G1" t="s">
        <v>46</v>
      </c>
      <c r="H1" t="s">
        <v>134</v>
      </c>
      <c r="I1" t="s">
        <v>135</v>
      </c>
      <c r="J1" t="s">
        <v>136</v>
      </c>
      <c r="K1" t="s">
        <v>137</v>
      </c>
      <c r="L1" t="s">
        <v>138</v>
      </c>
      <c r="M1" t="s">
        <v>139</v>
      </c>
      <c r="N1" t="s">
        <v>140</v>
      </c>
      <c r="O1" t="s">
        <v>141</v>
      </c>
      <c r="P1" t="s">
        <v>129</v>
      </c>
      <c r="Q1" t="s">
        <v>142</v>
      </c>
    </row>
    <row r="2" spans="1:17" x14ac:dyDescent="0.35">
      <c r="A2" t="s">
        <v>685</v>
      </c>
      <c r="B2">
        <v>1</v>
      </c>
      <c r="C2" t="s">
        <v>143</v>
      </c>
      <c r="D2">
        <v>1099</v>
      </c>
      <c r="E2" t="s">
        <v>376</v>
      </c>
      <c r="F2" t="s">
        <v>376</v>
      </c>
      <c r="G2" s="3">
        <v>45858</v>
      </c>
      <c r="H2">
        <v>0</v>
      </c>
      <c r="I2">
        <v>0</v>
      </c>
      <c r="J2">
        <v>0</v>
      </c>
      <c r="K2">
        <v>0</v>
      </c>
      <c r="L2">
        <v>0</v>
      </c>
      <c r="M2">
        <v>0</v>
      </c>
      <c r="N2">
        <v>0</v>
      </c>
      <c r="O2">
        <v>0</v>
      </c>
      <c r="P2">
        <v>7</v>
      </c>
      <c r="Q2">
        <v>7</v>
      </c>
    </row>
    <row r="3" spans="1:17" x14ac:dyDescent="0.35">
      <c r="A3" t="s">
        <v>685</v>
      </c>
      <c r="B3">
        <v>2</v>
      </c>
      <c r="C3" t="s">
        <v>144</v>
      </c>
      <c r="D3">
        <v>1099</v>
      </c>
      <c r="E3" t="s">
        <v>376</v>
      </c>
      <c r="F3" t="s">
        <v>376</v>
      </c>
      <c r="G3" s="3">
        <v>45858</v>
      </c>
      <c r="H3">
        <v>0</v>
      </c>
      <c r="I3">
        <v>0</v>
      </c>
      <c r="J3">
        <v>0</v>
      </c>
      <c r="K3">
        <v>0</v>
      </c>
      <c r="L3">
        <v>0</v>
      </c>
      <c r="M3">
        <v>0</v>
      </c>
      <c r="N3">
        <v>0</v>
      </c>
      <c r="O3">
        <v>0</v>
      </c>
      <c r="P3">
        <v>34</v>
      </c>
      <c r="Q3">
        <v>34</v>
      </c>
    </row>
    <row r="4" spans="1:17" x14ac:dyDescent="0.35">
      <c r="A4" t="s">
        <v>685</v>
      </c>
      <c r="B4">
        <v>3</v>
      </c>
      <c r="C4" t="s">
        <v>145</v>
      </c>
      <c r="D4">
        <v>1099</v>
      </c>
      <c r="E4" t="s">
        <v>376</v>
      </c>
      <c r="F4" t="s">
        <v>376</v>
      </c>
      <c r="G4" s="3">
        <v>45858</v>
      </c>
      <c r="H4">
        <v>0</v>
      </c>
      <c r="I4">
        <v>0</v>
      </c>
      <c r="J4">
        <v>0</v>
      </c>
      <c r="K4">
        <v>0</v>
      </c>
      <c r="L4">
        <v>0</v>
      </c>
      <c r="M4">
        <v>0</v>
      </c>
      <c r="N4">
        <v>0</v>
      </c>
      <c r="O4">
        <v>0</v>
      </c>
      <c r="P4">
        <v>19</v>
      </c>
      <c r="Q4">
        <v>19</v>
      </c>
    </row>
    <row r="5" spans="1:17" x14ac:dyDescent="0.35">
      <c r="A5" t="s">
        <v>685</v>
      </c>
      <c r="B5">
        <v>4</v>
      </c>
      <c r="C5" t="s">
        <v>146</v>
      </c>
      <c r="D5">
        <v>1099</v>
      </c>
      <c r="E5" t="s">
        <v>376</v>
      </c>
      <c r="F5" t="s">
        <v>376</v>
      </c>
      <c r="G5" s="3">
        <v>45858</v>
      </c>
      <c r="H5">
        <v>0</v>
      </c>
      <c r="I5">
        <v>0</v>
      </c>
      <c r="J5">
        <v>0</v>
      </c>
      <c r="K5">
        <v>0</v>
      </c>
      <c r="L5">
        <v>0</v>
      </c>
      <c r="M5">
        <v>0</v>
      </c>
      <c r="N5">
        <v>0</v>
      </c>
      <c r="O5">
        <v>0</v>
      </c>
      <c r="P5">
        <v>0</v>
      </c>
      <c r="Q5">
        <v>0</v>
      </c>
    </row>
    <row r="6" spans="1:17" x14ac:dyDescent="0.35">
      <c r="A6" t="s">
        <v>686</v>
      </c>
      <c r="B6">
        <v>1</v>
      </c>
      <c r="C6" t="s">
        <v>143</v>
      </c>
      <c r="D6">
        <v>1099</v>
      </c>
      <c r="E6" t="s">
        <v>376</v>
      </c>
      <c r="F6" t="s">
        <v>376</v>
      </c>
      <c r="G6" s="3">
        <v>45858</v>
      </c>
      <c r="H6">
        <v>0</v>
      </c>
      <c r="I6">
        <v>0</v>
      </c>
      <c r="J6">
        <v>0</v>
      </c>
      <c r="K6">
        <v>0</v>
      </c>
      <c r="L6">
        <v>0</v>
      </c>
      <c r="M6">
        <v>0</v>
      </c>
      <c r="N6">
        <v>0</v>
      </c>
      <c r="O6">
        <v>0</v>
      </c>
      <c r="P6">
        <v>4</v>
      </c>
      <c r="Q6">
        <v>4</v>
      </c>
    </row>
    <row r="7" spans="1:17" x14ac:dyDescent="0.35">
      <c r="A7" t="s">
        <v>686</v>
      </c>
      <c r="B7">
        <v>2</v>
      </c>
      <c r="C7" t="s">
        <v>144</v>
      </c>
      <c r="D7">
        <v>1099</v>
      </c>
      <c r="E7" t="s">
        <v>376</v>
      </c>
      <c r="F7" t="s">
        <v>376</v>
      </c>
      <c r="G7" s="3">
        <v>45858</v>
      </c>
      <c r="H7">
        <v>0</v>
      </c>
      <c r="I7">
        <v>0</v>
      </c>
      <c r="J7">
        <v>0</v>
      </c>
      <c r="K7">
        <v>0</v>
      </c>
      <c r="L7">
        <v>0</v>
      </c>
      <c r="M7">
        <v>0</v>
      </c>
      <c r="N7">
        <v>1</v>
      </c>
      <c r="O7">
        <v>0</v>
      </c>
      <c r="P7">
        <v>13</v>
      </c>
      <c r="Q7">
        <v>14</v>
      </c>
    </row>
    <row r="8" spans="1:17" x14ac:dyDescent="0.35">
      <c r="A8" t="s">
        <v>686</v>
      </c>
      <c r="B8">
        <v>3</v>
      </c>
      <c r="C8" t="s">
        <v>145</v>
      </c>
      <c r="D8">
        <v>1099</v>
      </c>
      <c r="E8" t="s">
        <v>376</v>
      </c>
      <c r="F8" t="s">
        <v>376</v>
      </c>
      <c r="G8" s="3">
        <v>45858</v>
      </c>
      <c r="H8">
        <v>0</v>
      </c>
      <c r="I8">
        <v>0</v>
      </c>
      <c r="J8">
        <v>0</v>
      </c>
      <c r="K8">
        <v>0</v>
      </c>
      <c r="L8">
        <v>0</v>
      </c>
      <c r="M8">
        <v>0</v>
      </c>
      <c r="N8">
        <v>0</v>
      </c>
      <c r="O8">
        <v>0</v>
      </c>
      <c r="P8">
        <v>22</v>
      </c>
      <c r="Q8">
        <v>22</v>
      </c>
    </row>
    <row r="9" spans="1:17" x14ac:dyDescent="0.35">
      <c r="A9" t="s">
        <v>686</v>
      </c>
      <c r="B9">
        <v>4</v>
      </c>
      <c r="C9" t="s">
        <v>146</v>
      </c>
      <c r="D9">
        <v>1099</v>
      </c>
      <c r="E9" t="s">
        <v>376</v>
      </c>
      <c r="F9" t="s">
        <v>376</v>
      </c>
      <c r="G9" s="3">
        <v>45858</v>
      </c>
      <c r="H9">
        <v>0</v>
      </c>
      <c r="I9">
        <v>0</v>
      </c>
      <c r="J9">
        <v>0</v>
      </c>
      <c r="K9">
        <v>0</v>
      </c>
      <c r="L9">
        <v>0</v>
      </c>
      <c r="M9">
        <v>0</v>
      </c>
      <c r="N9">
        <v>0</v>
      </c>
      <c r="O9">
        <v>0</v>
      </c>
      <c r="P9">
        <v>0</v>
      </c>
      <c r="Q9">
        <v>0</v>
      </c>
    </row>
    <row r="10" spans="1:17" x14ac:dyDescent="0.35">
      <c r="A10" t="s">
        <v>687</v>
      </c>
      <c r="B10">
        <v>1</v>
      </c>
      <c r="C10" t="s">
        <v>143</v>
      </c>
      <c r="D10">
        <v>1099</v>
      </c>
      <c r="E10" t="s">
        <v>376</v>
      </c>
      <c r="F10" t="s">
        <v>376</v>
      </c>
      <c r="G10" s="3">
        <v>45858</v>
      </c>
      <c r="H10">
        <v>0</v>
      </c>
      <c r="I10">
        <v>0</v>
      </c>
      <c r="J10">
        <v>0</v>
      </c>
      <c r="K10">
        <v>0</v>
      </c>
      <c r="L10">
        <v>0</v>
      </c>
      <c r="M10">
        <v>0</v>
      </c>
      <c r="N10">
        <v>0</v>
      </c>
      <c r="O10">
        <v>0</v>
      </c>
      <c r="P10">
        <v>1</v>
      </c>
      <c r="Q10">
        <v>1</v>
      </c>
    </row>
    <row r="11" spans="1:17" x14ac:dyDescent="0.35">
      <c r="A11" t="s">
        <v>687</v>
      </c>
      <c r="B11">
        <v>2</v>
      </c>
      <c r="C11" t="s">
        <v>144</v>
      </c>
      <c r="D11">
        <v>1099</v>
      </c>
      <c r="E11" t="s">
        <v>376</v>
      </c>
      <c r="F11" t="s">
        <v>376</v>
      </c>
      <c r="G11" s="3">
        <v>45858</v>
      </c>
      <c r="H11">
        <v>1</v>
      </c>
      <c r="I11">
        <v>0</v>
      </c>
      <c r="J11">
        <v>0</v>
      </c>
      <c r="K11">
        <v>0</v>
      </c>
      <c r="L11">
        <v>0</v>
      </c>
      <c r="M11">
        <v>0</v>
      </c>
      <c r="N11">
        <v>0</v>
      </c>
      <c r="O11">
        <v>0</v>
      </c>
      <c r="P11">
        <v>4</v>
      </c>
      <c r="Q11">
        <v>5</v>
      </c>
    </row>
    <row r="12" spans="1:17" x14ac:dyDescent="0.35">
      <c r="A12" t="s">
        <v>687</v>
      </c>
      <c r="B12">
        <v>3</v>
      </c>
      <c r="C12" t="s">
        <v>145</v>
      </c>
      <c r="D12">
        <v>1099</v>
      </c>
      <c r="E12" t="s">
        <v>376</v>
      </c>
      <c r="F12" t="s">
        <v>376</v>
      </c>
      <c r="G12" s="3">
        <v>45858</v>
      </c>
      <c r="H12">
        <v>0</v>
      </c>
      <c r="I12">
        <v>0</v>
      </c>
      <c r="J12">
        <v>0</v>
      </c>
      <c r="K12">
        <v>0</v>
      </c>
      <c r="L12">
        <v>0</v>
      </c>
      <c r="M12">
        <v>0</v>
      </c>
      <c r="N12">
        <v>0</v>
      </c>
      <c r="O12">
        <v>0</v>
      </c>
      <c r="P12">
        <v>9</v>
      </c>
      <c r="Q12">
        <v>9</v>
      </c>
    </row>
    <row r="13" spans="1:17" x14ac:dyDescent="0.35">
      <c r="A13" t="s">
        <v>687</v>
      </c>
      <c r="B13">
        <v>4</v>
      </c>
      <c r="C13" t="s">
        <v>146</v>
      </c>
      <c r="D13">
        <v>1099</v>
      </c>
      <c r="E13" t="s">
        <v>376</v>
      </c>
      <c r="F13" t="s">
        <v>376</v>
      </c>
      <c r="G13" s="3">
        <v>45858</v>
      </c>
      <c r="H13">
        <v>0</v>
      </c>
      <c r="I13">
        <v>0</v>
      </c>
      <c r="J13">
        <v>0</v>
      </c>
      <c r="K13">
        <v>0</v>
      </c>
      <c r="L13">
        <v>0</v>
      </c>
      <c r="M13">
        <v>0</v>
      </c>
      <c r="N13">
        <v>0</v>
      </c>
      <c r="O13">
        <v>0</v>
      </c>
      <c r="P13">
        <v>0</v>
      </c>
      <c r="Q13">
        <v>0</v>
      </c>
    </row>
    <row r="14" spans="1:17" x14ac:dyDescent="0.35">
      <c r="A14" t="s">
        <v>688</v>
      </c>
      <c r="B14">
        <v>1</v>
      </c>
      <c r="C14" t="s">
        <v>143</v>
      </c>
      <c r="D14">
        <v>1099</v>
      </c>
      <c r="E14" t="s">
        <v>376</v>
      </c>
      <c r="F14" t="s">
        <v>376</v>
      </c>
      <c r="G14" s="3">
        <v>45858</v>
      </c>
      <c r="H14">
        <v>0</v>
      </c>
      <c r="I14">
        <v>0</v>
      </c>
      <c r="J14">
        <v>0</v>
      </c>
      <c r="K14">
        <v>0</v>
      </c>
      <c r="L14">
        <v>0</v>
      </c>
      <c r="M14">
        <v>0</v>
      </c>
      <c r="N14">
        <v>0</v>
      </c>
      <c r="O14">
        <v>0</v>
      </c>
      <c r="P14">
        <v>1</v>
      </c>
      <c r="Q14">
        <v>1</v>
      </c>
    </row>
    <row r="15" spans="1:17" x14ac:dyDescent="0.35">
      <c r="A15" t="s">
        <v>688</v>
      </c>
      <c r="B15">
        <v>2</v>
      </c>
      <c r="C15" t="s">
        <v>144</v>
      </c>
      <c r="D15">
        <v>1099</v>
      </c>
      <c r="E15" t="s">
        <v>376</v>
      </c>
      <c r="F15" t="s">
        <v>376</v>
      </c>
      <c r="G15" s="3">
        <v>45858</v>
      </c>
      <c r="H15">
        <v>0</v>
      </c>
      <c r="I15">
        <v>0</v>
      </c>
      <c r="J15">
        <v>0</v>
      </c>
      <c r="K15">
        <v>0</v>
      </c>
      <c r="L15">
        <v>0</v>
      </c>
      <c r="M15">
        <v>0</v>
      </c>
      <c r="N15">
        <v>0</v>
      </c>
      <c r="O15">
        <v>0</v>
      </c>
      <c r="P15">
        <v>4</v>
      </c>
      <c r="Q15">
        <v>4</v>
      </c>
    </row>
    <row r="16" spans="1:17" x14ac:dyDescent="0.35">
      <c r="A16" t="s">
        <v>688</v>
      </c>
      <c r="B16">
        <v>3</v>
      </c>
      <c r="C16" t="s">
        <v>145</v>
      </c>
      <c r="D16">
        <v>1099</v>
      </c>
      <c r="E16" t="s">
        <v>376</v>
      </c>
      <c r="F16" t="s">
        <v>376</v>
      </c>
      <c r="G16" s="3">
        <v>45858</v>
      </c>
      <c r="H16">
        <v>0</v>
      </c>
      <c r="I16">
        <v>0</v>
      </c>
      <c r="J16">
        <v>0</v>
      </c>
      <c r="K16">
        <v>0</v>
      </c>
      <c r="L16">
        <v>0</v>
      </c>
      <c r="M16">
        <v>0</v>
      </c>
      <c r="N16">
        <v>0</v>
      </c>
      <c r="O16">
        <v>0</v>
      </c>
      <c r="P16">
        <v>5</v>
      </c>
      <c r="Q16">
        <v>5</v>
      </c>
    </row>
    <row r="17" spans="1:17" x14ac:dyDescent="0.35">
      <c r="A17" t="s">
        <v>688</v>
      </c>
      <c r="B17">
        <v>4</v>
      </c>
      <c r="C17" t="s">
        <v>146</v>
      </c>
      <c r="D17">
        <v>1099</v>
      </c>
      <c r="E17" t="s">
        <v>376</v>
      </c>
      <c r="F17" t="s">
        <v>376</v>
      </c>
      <c r="G17" s="3">
        <v>45858</v>
      </c>
      <c r="H17">
        <v>0</v>
      </c>
      <c r="I17">
        <v>0</v>
      </c>
      <c r="J17">
        <v>0</v>
      </c>
      <c r="K17">
        <v>0</v>
      </c>
      <c r="L17">
        <v>0</v>
      </c>
      <c r="M17">
        <v>0</v>
      </c>
      <c r="N17">
        <v>0</v>
      </c>
      <c r="O17">
        <v>0</v>
      </c>
      <c r="P17">
        <v>0</v>
      </c>
      <c r="Q17">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F1A79-4F96-45A1-92C0-D74E39BB70AA}">
  <sheetPr codeName="Sheet8"/>
  <dimension ref="A1:F14"/>
  <sheetViews>
    <sheetView topLeftCell="A57" workbookViewId="0">
      <selection sqref="A1:XFD1048576"/>
    </sheetView>
  </sheetViews>
  <sheetFormatPr defaultRowHeight="14.4" x14ac:dyDescent="0.35"/>
  <cols>
    <col min="1" max="1" width="11.109375" bestFit="1" customWidth="1"/>
    <col min="2" max="2" width="11.33203125" bestFit="1" customWidth="1"/>
    <col min="3" max="3" width="20.109375" bestFit="1" customWidth="1"/>
    <col min="4" max="4" width="18" bestFit="1" customWidth="1"/>
    <col min="5" max="5" width="14.33203125" bestFit="1" customWidth="1"/>
    <col min="6" max="6" width="11.44140625" bestFit="1" customWidth="1"/>
  </cols>
  <sheetData>
    <row r="1" spans="1:6" x14ac:dyDescent="0.35">
      <c r="A1" t="s">
        <v>9</v>
      </c>
      <c r="B1" t="s">
        <v>23</v>
      </c>
      <c r="C1" t="s">
        <v>17</v>
      </c>
      <c r="D1" t="s">
        <v>79</v>
      </c>
      <c r="E1" t="s">
        <v>131</v>
      </c>
    </row>
    <row r="2" spans="1:6" x14ac:dyDescent="0.35">
      <c r="A2">
        <v>3646</v>
      </c>
      <c r="B2" t="s">
        <v>129</v>
      </c>
      <c r="C2" s="3">
        <v>45756</v>
      </c>
      <c r="D2" s="3">
        <v>45772</v>
      </c>
      <c r="E2">
        <v>0</v>
      </c>
      <c r="F2" t="s">
        <v>685</v>
      </c>
    </row>
    <row r="3" spans="1:6" x14ac:dyDescent="0.35">
      <c r="A3">
        <v>3666</v>
      </c>
      <c r="B3" t="s">
        <v>129</v>
      </c>
      <c r="C3" s="3">
        <v>45757</v>
      </c>
      <c r="D3" s="3">
        <v>45772</v>
      </c>
      <c r="E3">
        <v>0</v>
      </c>
      <c r="F3" t="s">
        <v>685</v>
      </c>
    </row>
    <row r="4" spans="1:6" x14ac:dyDescent="0.35">
      <c r="A4">
        <v>3674</v>
      </c>
      <c r="B4" t="s">
        <v>129</v>
      </c>
      <c r="C4" s="3">
        <v>45757</v>
      </c>
      <c r="D4" s="3">
        <v>45763</v>
      </c>
      <c r="E4">
        <v>0</v>
      </c>
      <c r="F4" t="s">
        <v>685</v>
      </c>
    </row>
    <row r="5" spans="1:6" x14ac:dyDescent="0.35">
      <c r="A5">
        <v>3748</v>
      </c>
      <c r="B5" t="s">
        <v>129</v>
      </c>
      <c r="C5" s="3">
        <v>45763</v>
      </c>
      <c r="D5" s="3">
        <v>45764</v>
      </c>
      <c r="E5">
        <v>0</v>
      </c>
      <c r="F5" t="s">
        <v>685</v>
      </c>
    </row>
    <row r="6" spans="1:6" x14ac:dyDescent="0.35">
      <c r="A6">
        <v>3827</v>
      </c>
      <c r="B6" t="s">
        <v>129</v>
      </c>
      <c r="C6" s="3">
        <v>45769</v>
      </c>
      <c r="D6" s="3">
        <v>45769</v>
      </c>
      <c r="E6">
        <v>0</v>
      </c>
      <c r="F6" t="s">
        <v>685</v>
      </c>
    </row>
    <row r="7" spans="1:6" x14ac:dyDescent="0.35">
      <c r="A7">
        <v>3828</v>
      </c>
      <c r="B7" t="s">
        <v>129</v>
      </c>
      <c r="C7" s="3">
        <v>45769</v>
      </c>
      <c r="D7" s="3">
        <v>45771</v>
      </c>
      <c r="E7">
        <v>0</v>
      </c>
      <c r="F7" t="s">
        <v>685</v>
      </c>
    </row>
    <row r="8" spans="1:6" x14ac:dyDescent="0.35">
      <c r="A8">
        <v>3967</v>
      </c>
      <c r="B8" t="s">
        <v>129</v>
      </c>
      <c r="C8" s="3">
        <v>45777</v>
      </c>
      <c r="D8" s="3">
        <v>45777</v>
      </c>
      <c r="E8">
        <v>0</v>
      </c>
      <c r="F8" t="s">
        <v>685</v>
      </c>
    </row>
    <row r="9" spans="1:6" x14ac:dyDescent="0.35">
      <c r="A9">
        <v>4077</v>
      </c>
      <c r="B9" t="s">
        <v>129</v>
      </c>
      <c r="C9" s="3">
        <v>45783</v>
      </c>
      <c r="D9" s="3">
        <v>45783</v>
      </c>
      <c r="E9">
        <v>0</v>
      </c>
      <c r="F9" t="s">
        <v>686</v>
      </c>
    </row>
    <row r="10" spans="1:6" x14ac:dyDescent="0.35">
      <c r="A10">
        <v>4266</v>
      </c>
      <c r="B10" t="s">
        <v>129</v>
      </c>
      <c r="C10" s="3">
        <v>45791</v>
      </c>
      <c r="D10" s="3">
        <v>45792</v>
      </c>
      <c r="E10">
        <v>0</v>
      </c>
      <c r="F10" t="s">
        <v>686</v>
      </c>
    </row>
    <row r="11" spans="1:6" x14ac:dyDescent="0.35">
      <c r="A11">
        <v>4420</v>
      </c>
      <c r="B11" t="s">
        <v>129</v>
      </c>
      <c r="C11" s="3">
        <v>45799</v>
      </c>
      <c r="D11" s="3">
        <v>45799</v>
      </c>
      <c r="E11">
        <v>0</v>
      </c>
      <c r="F11" t="s">
        <v>686</v>
      </c>
    </row>
    <row r="12" spans="1:6" x14ac:dyDescent="0.35">
      <c r="A12">
        <v>4453</v>
      </c>
      <c r="B12" t="s">
        <v>129</v>
      </c>
      <c r="C12" s="3">
        <v>45798</v>
      </c>
      <c r="D12" s="3">
        <v>45799</v>
      </c>
      <c r="E12">
        <v>0</v>
      </c>
      <c r="F12" t="s">
        <v>686</v>
      </c>
    </row>
    <row r="13" spans="1:6" x14ac:dyDescent="0.35">
      <c r="A13">
        <v>4850</v>
      </c>
      <c r="B13" t="s">
        <v>129</v>
      </c>
      <c r="C13" s="3">
        <v>45819</v>
      </c>
      <c r="D13" s="3">
        <v>45819</v>
      </c>
      <c r="E13">
        <v>0</v>
      </c>
      <c r="F13" t="s">
        <v>687</v>
      </c>
    </row>
    <row r="14" spans="1:6" x14ac:dyDescent="0.35">
      <c r="A14">
        <v>5538</v>
      </c>
      <c r="B14" t="s">
        <v>129</v>
      </c>
      <c r="C14" s="3">
        <v>45846</v>
      </c>
      <c r="D14" s="3">
        <v>45846</v>
      </c>
      <c r="E14">
        <v>0</v>
      </c>
      <c r="F14" t="s">
        <v>688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B89E-2A1A-4555-A9E7-4FDA687C935E}">
  <sheetPr codeName="Sheet11"/>
  <dimension ref="A1:J165"/>
  <sheetViews>
    <sheetView topLeftCell="D80" workbookViewId="0">
      <selection sqref="A1:XFD1048576"/>
    </sheetView>
  </sheetViews>
  <sheetFormatPr defaultRowHeight="14.4" x14ac:dyDescent="0.35"/>
  <cols>
    <col min="1" max="1" width="11.44140625" bestFit="1" customWidth="1"/>
    <col min="2" max="2" width="26.44140625" bestFit="1" customWidth="1"/>
    <col min="3" max="3" width="7" bestFit="1" customWidth="1"/>
    <col min="4" max="5" width="31.88671875" bestFit="1" customWidth="1"/>
    <col min="6" max="6" width="14.44140625" bestFit="1" customWidth="1"/>
    <col min="7" max="8" width="5.5546875" bestFit="1" customWidth="1"/>
    <col min="9" max="10" width="6.109375" bestFit="1" customWidth="1"/>
  </cols>
  <sheetData>
    <row r="1" spans="1:10" x14ac:dyDescent="0.35">
      <c r="A1" t="s">
        <v>152</v>
      </c>
      <c r="B1" t="s">
        <v>147</v>
      </c>
      <c r="C1" t="s">
        <v>47</v>
      </c>
      <c r="D1" t="s">
        <v>48</v>
      </c>
      <c r="E1" t="s">
        <v>105</v>
      </c>
      <c r="F1" t="s">
        <v>46</v>
      </c>
      <c r="G1" t="s">
        <v>148</v>
      </c>
      <c r="H1" t="s">
        <v>149</v>
      </c>
      <c r="I1" t="s">
        <v>150</v>
      </c>
      <c r="J1" t="s">
        <v>151</v>
      </c>
    </row>
    <row r="2" spans="1:10" x14ac:dyDescent="0.35">
      <c r="A2" t="s">
        <v>685</v>
      </c>
      <c r="B2" t="s">
        <v>220</v>
      </c>
      <c r="C2">
        <v>1099</v>
      </c>
      <c r="D2" t="s">
        <v>376</v>
      </c>
      <c r="E2" t="s">
        <v>376</v>
      </c>
      <c r="F2" s="3">
        <v>45858</v>
      </c>
      <c r="G2">
        <v>0</v>
      </c>
      <c r="H2">
        <v>0</v>
      </c>
      <c r="I2">
        <v>0</v>
      </c>
      <c r="J2">
        <v>0</v>
      </c>
    </row>
    <row r="3" spans="1:10" x14ac:dyDescent="0.35">
      <c r="A3" t="s">
        <v>685</v>
      </c>
      <c r="B3" t="s">
        <v>153</v>
      </c>
      <c r="C3">
        <v>1099</v>
      </c>
      <c r="D3" t="s">
        <v>376</v>
      </c>
      <c r="E3" t="s">
        <v>376</v>
      </c>
      <c r="F3" s="3">
        <v>45858</v>
      </c>
      <c r="G3">
        <v>6</v>
      </c>
      <c r="H3">
        <v>26</v>
      </c>
      <c r="I3">
        <v>12</v>
      </c>
      <c r="J3">
        <v>0</v>
      </c>
    </row>
    <row r="4" spans="1:10" x14ac:dyDescent="0.35">
      <c r="A4" t="s">
        <v>685</v>
      </c>
      <c r="B4" t="s">
        <v>154</v>
      </c>
      <c r="C4">
        <v>1099</v>
      </c>
      <c r="D4" t="s">
        <v>376</v>
      </c>
      <c r="E4" t="s">
        <v>376</v>
      </c>
      <c r="F4" s="3">
        <v>45858</v>
      </c>
      <c r="G4">
        <v>0</v>
      </c>
      <c r="H4">
        <v>1</v>
      </c>
      <c r="I4">
        <v>0</v>
      </c>
      <c r="J4">
        <v>0</v>
      </c>
    </row>
    <row r="5" spans="1:10" x14ac:dyDescent="0.35">
      <c r="A5" t="s">
        <v>685</v>
      </c>
      <c r="B5" t="s">
        <v>221</v>
      </c>
      <c r="C5">
        <v>1099</v>
      </c>
      <c r="D5" t="s">
        <v>376</v>
      </c>
      <c r="E5" t="s">
        <v>376</v>
      </c>
      <c r="F5" s="3">
        <v>45858</v>
      </c>
      <c r="G5">
        <v>0</v>
      </c>
      <c r="H5">
        <v>0</v>
      </c>
      <c r="I5">
        <v>0</v>
      </c>
      <c r="J5">
        <v>0</v>
      </c>
    </row>
    <row r="6" spans="1:10" x14ac:dyDescent="0.35">
      <c r="A6" t="s">
        <v>685</v>
      </c>
      <c r="B6" t="s">
        <v>222</v>
      </c>
      <c r="C6">
        <v>1099</v>
      </c>
      <c r="D6" t="s">
        <v>376</v>
      </c>
      <c r="E6" t="s">
        <v>376</v>
      </c>
      <c r="F6" s="3">
        <v>45858</v>
      </c>
      <c r="G6">
        <v>0</v>
      </c>
      <c r="H6">
        <v>0</v>
      </c>
      <c r="I6">
        <v>0</v>
      </c>
      <c r="J6">
        <v>0</v>
      </c>
    </row>
    <row r="7" spans="1:10" x14ac:dyDescent="0.35">
      <c r="A7" t="s">
        <v>685</v>
      </c>
      <c r="B7" t="s">
        <v>223</v>
      </c>
      <c r="C7">
        <v>1099</v>
      </c>
      <c r="D7" t="s">
        <v>376</v>
      </c>
      <c r="E7" t="s">
        <v>376</v>
      </c>
      <c r="F7" s="3">
        <v>45858</v>
      </c>
      <c r="G7">
        <v>0</v>
      </c>
      <c r="H7">
        <v>0</v>
      </c>
      <c r="I7">
        <v>0</v>
      </c>
      <c r="J7">
        <v>0</v>
      </c>
    </row>
    <row r="8" spans="1:10" x14ac:dyDescent="0.35">
      <c r="A8" t="s">
        <v>685</v>
      </c>
      <c r="B8" t="s">
        <v>224</v>
      </c>
      <c r="C8">
        <v>1099</v>
      </c>
      <c r="D8" t="s">
        <v>376</v>
      </c>
      <c r="E8" t="s">
        <v>376</v>
      </c>
      <c r="F8" s="3">
        <v>45858</v>
      </c>
      <c r="G8">
        <v>0</v>
      </c>
      <c r="H8">
        <v>0</v>
      </c>
      <c r="I8">
        <v>0</v>
      </c>
      <c r="J8">
        <v>0</v>
      </c>
    </row>
    <row r="9" spans="1:10" x14ac:dyDescent="0.35">
      <c r="A9" t="s">
        <v>685</v>
      </c>
      <c r="B9" t="s">
        <v>142</v>
      </c>
      <c r="C9">
        <v>1099</v>
      </c>
      <c r="D9" t="s">
        <v>376</v>
      </c>
      <c r="E9" t="s">
        <v>376</v>
      </c>
      <c r="F9" s="3">
        <v>45858</v>
      </c>
      <c r="G9">
        <v>6</v>
      </c>
      <c r="H9">
        <v>26</v>
      </c>
      <c r="I9">
        <v>12</v>
      </c>
      <c r="J9">
        <v>0</v>
      </c>
    </row>
    <row r="10" spans="1:10" x14ac:dyDescent="0.35">
      <c r="A10" t="s">
        <v>685</v>
      </c>
      <c r="B10" t="s">
        <v>142</v>
      </c>
      <c r="C10">
        <v>1099</v>
      </c>
      <c r="D10" t="s">
        <v>376</v>
      </c>
      <c r="E10" t="s">
        <v>376</v>
      </c>
      <c r="F10" s="3">
        <v>45858</v>
      </c>
      <c r="G10">
        <v>6</v>
      </c>
      <c r="H10">
        <v>26</v>
      </c>
      <c r="I10">
        <v>5</v>
      </c>
      <c r="J10">
        <v>0</v>
      </c>
    </row>
    <row r="11" spans="1:10" x14ac:dyDescent="0.35">
      <c r="A11" t="s">
        <v>685</v>
      </c>
      <c r="B11" t="s">
        <v>142</v>
      </c>
      <c r="C11">
        <v>1099</v>
      </c>
      <c r="D11" t="s">
        <v>376</v>
      </c>
      <c r="E11" t="s">
        <v>376</v>
      </c>
      <c r="F11" s="3">
        <v>45858</v>
      </c>
      <c r="G11">
        <v>6</v>
      </c>
      <c r="H11">
        <v>26</v>
      </c>
      <c r="I11">
        <v>2</v>
      </c>
      <c r="J11">
        <v>0</v>
      </c>
    </row>
    <row r="12" spans="1:10" x14ac:dyDescent="0.35">
      <c r="A12" t="s">
        <v>685</v>
      </c>
      <c r="B12" t="s">
        <v>142</v>
      </c>
      <c r="C12">
        <v>1099</v>
      </c>
      <c r="D12" t="s">
        <v>376</v>
      </c>
      <c r="E12" t="s">
        <v>376</v>
      </c>
      <c r="F12" s="3">
        <v>45858</v>
      </c>
      <c r="G12">
        <v>6</v>
      </c>
      <c r="H12">
        <v>1</v>
      </c>
      <c r="I12">
        <v>12</v>
      </c>
      <c r="J12">
        <v>0</v>
      </c>
    </row>
    <row r="13" spans="1:10" x14ac:dyDescent="0.35">
      <c r="A13" t="s">
        <v>685</v>
      </c>
      <c r="B13" t="s">
        <v>142</v>
      </c>
      <c r="C13">
        <v>1099</v>
      </c>
      <c r="D13" t="s">
        <v>376</v>
      </c>
      <c r="E13" t="s">
        <v>376</v>
      </c>
      <c r="F13" s="3">
        <v>45858</v>
      </c>
      <c r="G13">
        <v>6</v>
      </c>
      <c r="H13">
        <v>1</v>
      </c>
      <c r="I13">
        <v>5</v>
      </c>
      <c r="J13">
        <v>0</v>
      </c>
    </row>
    <row r="14" spans="1:10" x14ac:dyDescent="0.35">
      <c r="A14" t="s">
        <v>685</v>
      </c>
      <c r="B14" t="s">
        <v>142</v>
      </c>
      <c r="C14">
        <v>1099</v>
      </c>
      <c r="D14" t="s">
        <v>376</v>
      </c>
      <c r="E14" t="s">
        <v>376</v>
      </c>
      <c r="F14" s="3">
        <v>45858</v>
      </c>
      <c r="G14">
        <v>6</v>
      </c>
      <c r="H14">
        <v>1</v>
      </c>
      <c r="I14">
        <v>2</v>
      </c>
      <c r="J14">
        <v>0</v>
      </c>
    </row>
    <row r="15" spans="1:10" x14ac:dyDescent="0.35">
      <c r="A15" t="s">
        <v>685</v>
      </c>
      <c r="B15" t="s">
        <v>142</v>
      </c>
      <c r="C15">
        <v>1099</v>
      </c>
      <c r="D15" t="s">
        <v>376</v>
      </c>
      <c r="E15" t="s">
        <v>376</v>
      </c>
      <c r="F15" s="3">
        <v>45858</v>
      </c>
      <c r="G15">
        <v>6</v>
      </c>
      <c r="H15">
        <v>1</v>
      </c>
      <c r="I15">
        <v>12</v>
      </c>
      <c r="J15">
        <v>0</v>
      </c>
    </row>
    <row r="16" spans="1:10" x14ac:dyDescent="0.35">
      <c r="A16" t="s">
        <v>685</v>
      </c>
      <c r="B16" t="s">
        <v>142</v>
      </c>
      <c r="C16">
        <v>1099</v>
      </c>
      <c r="D16" t="s">
        <v>376</v>
      </c>
      <c r="E16" t="s">
        <v>376</v>
      </c>
      <c r="F16" s="3">
        <v>45858</v>
      </c>
      <c r="G16">
        <v>6</v>
      </c>
      <c r="H16">
        <v>1</v>
      </c>
      <c r="I16">
        <v>5</v>
      </c>
      <c r="J16">
        <v>0</v>
      </c>
    </row>
    <row r="17" spans="1:10" x14ac:dyDescent="0.35">
      <c r="A17" t="s">
        <v>685</v>
      </c>
      <c r="B17" t="s">
        <v>142</v>
      </c>
      <c r="C17">
        <v>1099</v>
      </c>
      <c r="D17" t="s">
        <v>376</v>
      </c>
      <c r="E17" t="s">
        <v>376</v>
      </c>
      <c r="F17" s="3">
        <v>45858</v>
      </c>
      <c r="G17">
        <v>6</v>
      </c>
      <c r="H17">
        <v>1</v>
      </c>
      <c r="I17">
        <v>2</v>
      </c>
      <c r="J17">
        <v>0</v>
      </c>
    </row>
    <row r="18" spans="1:10" x14ac:dyDescent="0.35">
      <c r="A18" t="s">
        <v>685</v>
      </c>
      <c r="B18" t="s">
        <v>142</v>
      </c>
      <c r="C18">
        <v>1099</v>
      </c>
      <c r="D18" t="s">
        <v>376</v>
      </c>
      <c r="E18" t="s">
        <v>376</v>
      </c>
      <c r="F18" s="3">
        <v>45858</v>
      </c>
      <c r="G18">
        <v>6</v>
      </c>
      <c r="H18">
        <v>5</v>
      </c>
      <c r="I18">
        <v>12</v>
      </c>
      <c r="J18">
        <v>0</v>
      </c>
    </row>
    <row r="19" spans="1:10" x14ac:dyDescent="0.35">
      <c r="A19" t="s">
        <v>685</v>
      </c>
      <c r="B19" t="s">
        <v>142</v>
      </c>
      <c r="C19">
        <v>1099</v>
      </c>
      <c r="D19" t="s">
        <v>376</v>
      </c>
      <c r="E19" t="s">
        <v>376</v>
      </c>
      <c r="F19" s="3">
        <v>45858</v>
      </c>
      <c r="G19">
        <v>6</v>
      </c>
      <c r="H19">
        <v>5</v>
      </c>
      <c r="I19">
        <v>5</v>
      </c>
      <c r="J19">
        <v>0</v>
      </c>
    </row>
    <row r="20" spans="1:10" x14ac:dyDescent="0.35">
      <c r="A20" t="s">
        <v>685</v>
      </c>
      <c r="B20" t="s">
        <v>142</v>
      </c>
      <c r="C20">
        <v>1099</v>
      </c>
      <c r="D20" t="s">
        <v>376</v>
      </c>
      <c r="E20" t="s">
        <v>376</v>
      </c>
      <c r="F20" s="3">
        <v>45858</v>
      </c>
      <c r="G20">
        <v>6</v>
      </c>
      <c r="H20">
        <v>5</v>
      </c>
      <c r="I20">
        <v>2</v>
      </c>
      <c r="J20">
        <v>0</v>
      </c>
    </row>
    <row r="21" spans="1:10" x14ac:dyDescent="0.35">
      <c r="A21" t="s">
        <v>685</v>
      </c>
      <c r="B21" t="s">
        <v>142</v>
      </c>
      <c r="C21">
        <v>1099</v>
      </c>
      <c r="D21" t="s">
        <v>376</v>
      </c>
      <c r="E21" t="s">
        <v>376</v>
      </c>
      <c r="F21" s="3">
        <v>45858</v>
      </c>
      <c r="G21">
        <v>6</v>
      </c>
      <c r="H21">
        <v>1</v>
      </c>
      <c r="I21">
        <v>12</v>
      </c>
      <c r="J21">
        <v>0</v>
      </c>
    </row>
    <row r="22" spans="1:10" x14ac:dyDescent="0.35">
      <c r="A22" t="s">
        <v>685</v>
      </c>
      <c r="B22" t="s">
        <v>142</v>
      </c>
      <c r="C22">
        <v>1099</v>
      </c>
      <c r="D22" t="s">
        <v>376</v>
      </c>
      <c r="E22" t="s">
        <v>376</v>
      </c>
      <c r="F22" s="3">
        <v>45858</v>
      </c>
      <c r="G22">
        <v>6</v>
      </c>
      <c r="H22">
        <v>1</v>
      </c>
      <c r="I22">
        <v>5</v>
      </c>
      <c r="J22">
        <v>0</v>
      </c>
    </row>
    <row r="23" spans="1:10" x14ac:dyDescent="0.35">
      <c r="A23" t="s">
        <v>685</v>
      </c>
      <c r="B23" t="s">
        <v>142</v>
      </c>
      <c r="C23">
        <v>1099</v>
      </c>
      <c r="D23" t="s">
        <v>376</v>
      </c>
      <c r="E23" t="s">
        <v>376</v>
      </c>
      <c r="F23" s="3">
        <v>45858</v>
      </c>
      <c r="G23">
        <v>6</v>
      </c>
      <c r="H23">
        <v>1</v>
      </c>
      <c r="I23">
        <v>2</v>
      </c>
      <c r="J23">
        <v>0</v>
      </c>
    </row>
    <row r="24" spans="1:10" x14ac:dyDescent="0.35">
      <c r="A24" t="s">
        <v>685</v>
      </c>
      <c r="B24" t="s">
        <v>142</v>
      </c>
      <c r="C24">
        <v>1099</v>
      </c>
      <c r="D24" t="s">
        <v>376</v>
      </c>
      <c r="E24" t="s">
        <v>376</v>
      </c>
      <c r="F24" s="3">
        <v>45858</v>
      </c>
      <c r="G24">
        <v>1</v>
      </c>
      <c r="H24">
        <v>26</v>
      </c>
      <c r="I24">
        <v>12</v>
      </c>
      <c r="J24">
        <v>0</v>
      </c>
    </row>
    <row r="25" spans="1:10" x14ac:dyDescent="0.35">
      <c r="A25" t="s">
        <v>685</v>
      </c>
      <c r="B25" t="s">
        <v>142</v>
      </c>
      <c r="C25">
        <v>1099</v>
      </c>
      <c r="D25" t="s">
        <v>376</v>
      </c>
      <c r="E25" t="s">
        <v>376</v>
      </c>
      <c r="F25" s="3">
        <v>45858</v>
      </c>
      <c r="G25">
        <v>1</v>
      </c>
      <c r="H25">
        <v>26</v>
      </c>
      <c r="I25">
        <v>5</v>
      </c>
      <c r="J25">
        <v>0</v>
      </c>
    </row>
    <row r="26" spans="1:10" x14ac:dyDescent="0.35">
      <c r="A26" t="s">
        <v>685</v>
      </c>
      <c r="B26" t="s">
        <v>142</v>
      </c>
      <c r="C26">
        <v>1099</v>
      </c>
      <c r="D26" t="s">
        <v>376</v>
      </c>
      <c r="E26" t="s">
        <v>376</v>
      </c>
      <c r="F26" s="3">
        <v>45858</v>
      </c>
      <c r="G26">
        <v>1</v>
      </c>
      <c r="H26">
        <v>26</v>
      </c>
      <c r="I26">
        <v>2</v>
      </c>
      <c r="J26">
        <v>0</v>
      </c>
    </row>
    <row r="27" spans="1:10" x14ac:dyDescent="0.35">
      <c r="A27" t="s">
        <v>685</v>
      </c>
      <c r="B27" t="s">
        <v>142</v>
      </c>
      <c r="C27">
        <v>1099</v>
      </c>
      <c r="D27" t="s">
        <v>376</v>
      </c>
      <c r="E27" t="s">
        <v>376</v>
      </c>
      <c r="F27" s="3">
        <v>45858</v>
      </c>
      <c r="G27">
        <v>1</v>
      </c>
      <c r="H27">
        <v>1</v>
      </c>
      <c r="I27">
        <v>12</v>
      </c>
      <c r="J27">
        <v>0</v>
      </c>
    </row>
    <row r="28" spans="1:10" x14ac:dyDescent="0.35">
      <c r="A28" t="s">
        <v>685</v>
      </c>
      <c r="B28" t="s">
        <v>142</v>
      </c>
      <c r="C28">
        <v>1099</v>
      </c>
      <c r="D28" t="s">
        <v>376</v>
      </c>
      <c r="E28" t="s">
        <v>376</v>
      </c>
      <c r="F28" s="3">
        <v>45858</v>
      </c>
      <c r="G28">
        <v>1</v>
      </c>
      <c r="H28">
        <v>1</v>
      </c>
      <c r="I28">
        <v>5</v>
      </c>
      <c r="J28">
        <v>0</v>
      </c>
    </row>
    <row r="29" spans="1:10" x14ac:dyDescent="0.35">
      <c r="A29" t="s">
        <v>685</v>
      </c>
      <c r="B29" t="s">
        <v>142</v>
      </c>
      <c r="C29">
        <v>1099</v>
      </c>
      <c r="D29" t="s">
        <v>376</v>
      </c>
      <c r="E29" t="s">
        <v>376</v>
      </c>
      <c r="F29" s="3">
        <v>45858</v>
      </c>
      <c r="G29">
        <v>1</v>
      </c>
      <c r="H29">
        <v>1</v>
      </c>
      <c r="I29">
        <v>2</v>
      </c>
      <c r="J29">
        <v>0</v>
      </c>
    </row>
    <row r="30" spans="1:10" x14ac:dyDescent="0.35">
      <c r="A30" t="s">
        <v>685</v>
      </c>
      <c r="B30" t="s">
        <v>142</v>
      </c>
      <c r="C30">
        <v>1099</v>
      </c>
      <c r="D30" t="s">
        <v>376</v>
      </c>
      <c r="E30" t="s">
        <v>376</v>
      </c>
      <c r="F30" s="3">
        <v>45858</v>
      </c>
      <c r="G30">
        <v>1</v>
      </c>
      <c r="H30">
        <v>1</v>
      </c>
      <c r="I30">
        <v>12</v>
      </c>
      <c r="J30">
        <v>0</v>
      </c>
    </row>
    <row r="31" spans="1:10" x14ac:dyDescent="0.35">
      <c r="A31" t="s">
        <v>685</v>
      </c>
      <c r="B31" t="s">
        <v>142</v>
      </c>
      <c r="C31">
        <v>1099</v>
      </c>
      <c r="D31" t="s">
        <v>376</v>
      </c>
      <c r="E31" t="s">
        <v>376</v>
      </c>
      <c r="F31" s="3">
        <v>45858</v>
      </c>
      <c r="G31">
        <v>1</v>
      </c>
      <c r="H31">
        <v>1</v>
      </c>
      <c r="I31">
        <v>5</v>
      </c>
      <c r="J31">
        <v>0</v>
      </c>
    </row>
    <row r="32" spans="1:10" x14ac:dyDescent="0.35">
      <c r="A32" t="s">
        <v>685</v>
      </c>
      <c r="B32" t="s">
        <v>142</v>
      </c>
      <c r="C32">
        <v>1099</v>
      </c>
      <c r="D32" t="s">
        <v>376</v>
      </c>
      <c r="E32" t="s">
        <v>376</v>
      </c>
      <c r="F32" s="3">
        <v>45858</v>
      </c>
      <c r="G32">
        <v>1</v>
      </c>
      <c r="H32">
        <v>1</v>
      </c>
      <c r="I32">
        <v>2</v>
      </c>
      <c r="J32">
        <v>0</v>
      </c>
    </row>
    <row r="33" spans="1:10" x14ac:dyDescent="0.35">
      <c r="A33" t="s">
        <v>685</v>
      </c>
      <c r="B33" t="s">
        <v>142</v>
      </c>
      <c r="C33">
        <v>1099</v>
      </c>
      <c r="D33" t="s">
        <v>376</v>
      </c>
      <c r="E33" t="s">
        <v>376</v>
      </c>
      <c r="F33" s="3">
        <v>45858</v>
      </c>
      <c r="G33">
        <v>1</v>
      </c>
      <c r="H33">
        <v>5</v>
      </c>
      <c r="I33">
        <v>12</v>
      </c>
      <c r="J33">
        <v>0</v>
      </c>
    </row>
    <row r="34" spans="1:10" x14ac:dyDescent="0.35">
      <c r="A34" t="s">
        <v>685</v>
      </c>
      <c r="B34" t="s">
        <v>142</v>
      </c>
      <c r="C34">
        <v>1099</v>
      </c>
      <c r="D34" t="s">
        <v>376</v>
      </c>
      <c r="E34" t="s">
        <v>376</v>
      </c>
      <c r="F34" s="3">
        <v>45858</v>
      </c>
      <c r="G34">
        <v>1</v>
      </c>
      <c r="H34">
        <v>5</v>
      </c>
      <c r="I34">
        <v>5</v>
      </c>
      <c r="J34">
        <v>0</v>
      </c>
    </row>
    <row r="35" spans="1:10" x14ac:dyDescent="0.35">
      <c r="A35" t="s">
        <v>685</v>
      </c>
      <c r="B35" t="s">
        <v>142</v>
      </c>
      <c r="C35">
        <v>1099</v>
      </c>
      <c r="D35" t="s">
        <v>376</v>
      </c>
      <c r="E35" t="s">
        <v>376</v>
      </c>
      <c r="F35" s="3">
        <v>45858</v>
      </c>
      <c r="G35">
        <v>1</v>
      </c>
      <c r="H35">
        <v>5</v>
      </c>
      <c r="I35">
        <v>2</v>
      </c>
      <c r="J35">
        <v>0</v>
      </c>
    </row>
    <row r="36" spans="1:10" x14ac:dyDescent="0.35">
      <c r="A36" t="s">
        <v>685</v>
      </c>
      <c r="B36" t="s">
        <v>142</v>
      </c>
      <c r="C36">
        <v>1099</v>
      </c>
      <c r="D36" t="s">
        <v>376</v>
      </c>
      <c r="E36" t="s">
        <v>376</v>
      </c>
      <c r="F36" s="3">
        <v>45858</v>
      </c>
      <c r="G36">
        <v>1</v>
      </c>
      <c r="H36">
        <v>1</v>
      </c>
      <c r="I36">
        <v>12</v>
      </c>
      <c r="J36">
        <v>0</v>
      </c>
    </row>
    <row r="37" spans="1:10" x14ac:dyDescent="0.35">
      <c r="A37" t="s">
        <v>685</v>
      </c>
      <c r="B37" t="s">
        <v>142</v>
      </c>
      <c r="C37">
        <v>1099</v>
      </c>
      <c r="D37" t="s">
        <v>376</v>
      </c>
      <c r="E37" t="s">
        <v>376</v>
      </c>
      <c r="F37" s="3">
        <v>45858</v>
      </c>
      <c r="G37">
        <v>1</v>
      </c>
      <c r="H37">
        <v>1</v>
      </c>
      <c r="I37">
        <v>5</v>
      </c>
      <c r="J37">
        <v>0</v>
      </c>
    </row>
    <row r="38" spans="1:10" x14ac:dyDescent="0.35">
      <c r="A38" t="s">
        <v>685</v>
      </c>
      <c r="B38" t="s">
        <v>142</v>
      </c>
      <c r="C38">
        <v>1099</v>
      </c>
      <c r="D38" t="s">
        <v>376</v>
      </c>
      <c r="E38" t="s">
        <v>376</v>
      </c>
      <c r="F38" s="3">
        <v>45858</v>
      </c>
      <c r="G38">
        <v>1</v>
      </c>
      <c r="H38">
        <v>1</v>
      </c>
      <c r="I38">
        <v>2</v>
      </c>
      <c r="J38">
        <v>0</v>
      </c>
    </row>
    <row r="39" spans="1:10" x14ac:dyDescent="0.35">
      <c r="A39" t="s">
        <v>685</v>
      </c>
      <c r="B39" t="s">
        <v>225</v>
      </c>
      <c r="C39">
        <v>1099</v>
      </c>
      <c r="D39" t="s">
        <v>376</v>
      </c>
      <c r="E39" t="s">
        <v>376</v>
      </c>
      <c r="F39" s="3">
        <v>45858</v>
      </c>
      <c r="G39">
        <v>0</v>
      </c>
      <c r="H39">
        <v>1</v>
      </c>
      <c r="I39">
        <v>5</v>
      </c>
      <c r="J39">
        <v>0</v>
      </c>
    </row>
    <row r="40" spans="1:10" x14ac:dyDescent="0.35">
      <c r="A40" t="s">
        <v>685</v>
      </c>
      <c r="B40" t="s">
        <v>156</v>
      </c>
      <c r="C40">
        <v>1099</v>
      </c>
      <c r="D40" t="s">
        <v>376</v>
      </c>
      <c r="E40" t="s">
        <v>376</v>
      </c>
      <c r="F40" s="3">
        <v>45858</v>
      </c>
      <c r="G40">
        <v>0</v>
      </c>
      <c r="H40">
        <v>0</v>
      </c>
      <c r="I40">
        <v>0</v>
      </c>
      <c r="J40">
        <v>0</v>
      </c>
    </row>
    <row r="41" spans="1:10" x14ac:dyDescent="0.35">
      <c r="A41" t="s">
        <v>685</v>
      </c>
      <c r="B41" t="s">
        <v>226</v>
      </c>
      <c r="C41">
        <v>1099</v>
      </c>
      <c r="D41" t="s">
        <v>376</v>
      </c>
      <c r="E41" t="s">
        <v>376</v>
      </c>
      <c r="F41" s="3">
        <v>45858</v>
      </c>
      <c r="G41">
        <v>0</v>
      </c>
      <c r="H41">
        <v>5</v>
      </c>
      <c r="I41">
        <v>2</v>
      </c>
      <c r="J41">
        <v>0</v>
      </c>
    </row>
    <row r="42" spans="1:10" x14ac:dyDescent="0.35">
      <c r="A42" t="s">
        <v>685</v>
      </c>
      <c r="B42" t="s">
        <v>219</v>
      </c>
      <c r="C42">
        <v>1099</v>
      </c>
      <c r="D42" t="s">
        <v>376</v>
      </c>
      <c r="E42" t="s">
        <v>376</v>
      </c>
      <c r="F42" s="3">
        <v>45858</v>
      </c>
      <c r="G42">
        <v>0</v>
      </c>
      <c r="H42">
        <v>1</v>
      </c>
      <c r="I42">
        <v>0</v>
      </c>
      <c r="J42">
        <v>0</v>
      </c>
    </row>
    <row r="43" spans="1:10" x14ac:dyDescent="0.35">
      <c r="A43" t="s">
        <v>685</v>
      </c>
      <c r="B43" t="s">
        <v>227</v>
      </c>
      <c r="C43">
        <v>1099</v>
      </c>
      <c r="D43" t="s">
        <v>376</v>
      </c>
      <c r="E43" t="s">
        <v>376</v>
      </c>
      <c r="F43" s="3">
        <v>45858</v>
      </c>
      <c r="G43">
        <v>0</v>
      </c>
      <c r="H43">
        <v>0</v>
      </c>
      <c r="I43">
        <v>0</v>
      </c>
      <c r="J43">
        <v>0</v>
      </c>
    </row>
    <row r="44" spans="1:10" x14ac:dyDescent="0.35">
      <c r="A44" t="s">
        <v>685</v>
      </c>
      <c r="B44" t="s">
        <v>155</v>
      </c>
      <c r="C44">
        <v>1099</v>
      </c>
      <c r="D44" t="s">
        <v>376</v>
      </c>
      <c r="E44" t="s">
        <v>376</v>
      </c>
      <c r="F44" s="3">
        <v>45858</v>
      </c>
      <c r="G44">
        <v>1</v>
      </c>
      <c r="H44">
        <v>0</v>
      </c>
      <c r="I44">
        <v>0</v>
      </c>
      <c r="J44">
        <v>0</v>
      </c>
    </row>
    <row r="45" spans="1:10" x14ac:dyDescent="0.35">
      <c r="A45" t="s">
        <v>685</v>
      </c>
      <c r="B45" t="s">
        <v>258</v>
      </c>
      <c r="C45">
        <v>1099</v>
      </c>
      <c r="D45" t="s">
        <v>376</v>
      </c>
      <c r="E45" t="s">
        <v>376</v>
      </c>
      <c r="F45" s="3">
        <v>45858</v>
      </c>
      <c r="G45">
        <v>0</v>
      </c>
      <c r="H45">
        <v>0</v>
      </c>
      <c r="I45">
        <v>0</v>
      </c>
      <c r="J45">
        <v>0</v>
      </c>
    </row>
    <row r="46" spans="1:10" x14ac:dyDescent="0.35">
      <c r="A46" t="s">
        <v>685</v>
      </c>
      <c r="B46" t="s">
        <v>259</v>
      </c>
      <c r="C46">
        <v>1099</v>
      </c>
      <c r="D46" t="s">
        <v>376</v>
      </c>
      <c r="E46" t="s">
        <v>376</v>
      </c>
      <c r="F46" s="3">
        <v>45858</v>
      </c>
      <c r="G46">
        <v>0</v>
      </c>
      <c r="H46">
        <v>0</v>
      </c>
      <c r="I46">
        <v>0</v>
      </c>
      <c r="J46">
        <v>0</v>
      </c>
    </row>
    <row r="47" spans="1:10" x14ac:dyDescent="0.35">
      <c r="A47" t="s">
        <v>685</v>
      </c>
      <c r="B47" t="s">
        <v>261</v>
      </c>
      <c r="C47">
        <v>1099</v>
      </c>
      <c r="D47" t="s">
        <v>376</v>
      </c>
      <c r="E47" t="s">
        <v>376</v>
      </c>
      <c r="F47" s="3">
        <v>45858</v>
      </c>
      <c r="G47">
        <v>0</v>
      </c>
      <c r="H47">
        <v>0</v>
      </c>
      <c r="I47">
        <v>0</v>
      </c>
      <c r="J47">
        <v>0</v>
      </c>
    </row>
    <row r="48" spans="1:10" x14ac:dyDescent="0.35">
      <c r="A48" t="s">
        <v>686</v>
      </c>
      <c r="B48" t="s">
        <v>220</v>
      </c>
      <c r="C48">
        <v>1099</v>
      </c>
      <c r="D48" t="s">
        <v>376</v>
      </c>
      <c r="E48" t="s">
        <v>376</v>
      </c>
      <c r="F48" s="3">
        <v>45858</v>
      </c>
      <c r="G48">
        <v>0</v>
      </c>
      <c r="H48">
        <v>0</v>
      </c>
      <c r="I48">
        <v>0</v>
      </c>
      <c r="J48">
        <v>0</v>
      </c>
    </row>
    <row r="49" spans="1:10" x14ac:dyDescent="0.35">
      <c r="A49" t="s">
        <v>686</v>
      </c>
      <c r="B49" t="s">
        <v>153</v>
      </c>
      <c r="C49">
        <v>1099</v>
      </c>
      <c r="D49" t="s">
        <v>376</v>
      </c>
      <c r="E49" t="s">
        <v>376</v>
      </c>
      <c r="F49" s="3">
        <v>45858</v>
      </c>
      <c r="G49">
        <v>3</v>
      </c>
      <c r="H49">
        <v>10</v>
      </c>
      <c r="I49">
        <v>16</v>
      </c>
      <c r="J49">
        <v>0</v>
      </c>
    </row>
    <row r="50" spans="1:10" x14ac:dyDescent="0.35">
      <c r="A50" t="s">
        <v>686</v>
      </c>
      <c r="B50" t="s">
        <v>154</v>
      </c>
      <c r="C50">
        <v>1099</v>
      </c>
      <c r="D50" t="s">
        <v>376</v>
      </c>
      <c r="E50" t="s">
        <v>376</v>
      </c>
      <c r="F50" s="3">
        <v>45858</v>
      </c>
      <c r="G50">
        <v>0</v>
      </c>
      <c r="H50">
        <v>0</v>
      </c>
      <c r="I50">
        <v>0</v>
      </c>
      <c r="J50">
        <v>0</v>
      </c>
    </row>
    <row r="51" spans="1:10" x14ac:dyDescent="0.35">
      <c r="A51" t="s">
        <v>686</v>
      </c>
      <c r="B51" t="s">
        <v>221</v>
      </c>
      <c r="C51">
        <v>1099</v>
      </c>
      <c r="D51" t="s">
        <v>376</v>
      </c>
      <c r="E51" t="s">
        <v>376</v>
      </c>
      <c r="F51" s="3">
        <v>45858</v>
      </c>
      <c r="G51">
        <v>0</v>
      </c>
      <c r="H51">
        <v>0</v>
      </c>
      <c r="I51">
        <v>1</v>
      </c>
      <c r="J51">
        <v>0</v>
      </c>
    </row>
    <row r="52" spans="1:10" x14ac:dyDescent="0.35">
      <c r="A52" t="s">
        <v>686</v>
      </c>
      <c r="B52" t="s">
        <v>222</v>
      </c>
      <c r="C52">
        <v>1099</v>
      </c>
      <c r="D52" t="s">
        <v>376</v>
      </c>
      <c r="E52" t="s">
        <v>376</v>
      </c>
      <c r="F52" s="3">
        <v>45858</v>
      </c>
      <c r="G52">
        <v>0</v>
      </c>
      <c r="H52">
        <v>0</v>
      </c>
      <c r="I52">
        <v>0</v>
      </c>
      <c r="J52">
        <v>0</v>
      </c>
    </row>
    <row r="53" spans="1:10" x14ac:dyDescent="0.35">
      <c r="A53" t="s">
        <v>686</v>
      </c>
      <c r="B53" t="s">
        <v>223</v>
      </c>
      <c r="C53">
        <v>1099</v>
      </c>
      <c r="D53" t="s">
        <v>376</v>
      </c>
      <c r="E53" t="s">
        <v>376</v>
      </c>
      <c r="F53" s="3">
        <v>45858</v>
      </c>
      <c r="G53">
        <v>0</v>
      </c>
      <c r="H53">
        <v>0</v>
      </c>
      <c r="I53">
        <v>1</v>
      </c>
      <c r="J53">
        <v>0</v>
      </c>
    </row>
    <row r="54" spans="1:10" x14ac:dyDescent="0.35">
      <c r="A54" t="s">
        <v>686</v>
      </c>
      <c r="B54" t="s">
        <v>224</v>
      </c>
      <c r="C54">
        <v>1099</v>
      </c>
      <c r="D54" t="s">
        <v>376</v>
      </c>
      <c r="E54" t="s">
        <v>376</v>
      </c>
      <c r="F54" s="3">
        <v>45858</v>
      </c>
      <c r="G54">
        <v>0</v>
      </c>
      <c r="H54">
        <v>1</v>
      </c>
      <c r="I54">
        <v>0</v>
      </c>
      <c r="J54">
        <v>0</v>
      </c>
    </row>
    <row r="55" spans="1:10" x14ac:dyDescent="0.35">
      <c r="A55" t="s">
        <v>686</v>
      </c>
      <c r="B55" t="s">
        <v>142</v>
      </c>
      <c r="C55">
        <v>1099</v>
      </c>
      <c r="D55" t="s">
        <v>376</v>
      </c>
      <c r="E55" t="s">
        <v>376</v>
      </c>
      <c r="F55" s="3">
        <v>45858</v>
      </c>
      <c r="G55">
        <v>3</v>
      </c>
      <c r="H55">
        <v>10</v>
      </c>
      <c r="I55">
        <v>16</v>
      </c>
      <c r="J55">
        <v>0</v>
      </c>
    </row>
    <row r="56" spans="1:10" x14ac:dyDescent="0.35">
      <c r="A56" t="s">
        <v>686</v>
      </c>
      <c r="B56" t="s">
        <v>142</v>
      </c>
      <c r="C56">
        <v>1099</v>
      </c>
      <c r="D56" t="s">
        <v>376</v>
      </c>
      <c r="E56" t="s">
        <v>376</v>
      </c>
      <c r="F56" s="3">
        <v>45858</v>
      </c>
      <c r="G56">
        <v>3</v>
      </c>
      <c r="H56">
        <v>10</v>
      </c>
      <c r="I56">
        <v>1</v>
      </c>
      <c r="J56">
        <v>0</v>
      </c>
    </row>
    <row r="57" spans="1:10" x14ac:dyDescent="0.35">
      <c r="A57" t="s">
        <v>686</v>
      </c>
      <c r="B57" t="s">
        <v>142</v>
      </c>
      <c r="C57">
        <v>1099</v>
      </c>
      <c r="D57" t="s">
        <v>376</v>
      </c>
      <c r="E57" t="s">
        <v>376</v>
      </c>
      <c r="F57" s="3">
        <v>45858</v>
      </c>
      <c r="G57">
        <v>3</v>
      </c>
      <c r="H57">
        <v>10</v>
      </c>
      <c r="I57">
        <v>1</v>
      </c>
      <c r="J57">
        <v>0</v>
      </c>
    </row>
    <row r="58" spans="1:10" x14ac:dyDescent="0.35">
      <c r="A58" t="s">
        <v>686</v>
      </c>
      <c r="B58" t="s">
        <v>142</v>
      </c>
      <c r="C58">
        <v>1099</v>
      </c>
      <c r="D58" t="s">
        <v>376</v>
      </c>
      <c r="E58" t="s">
        <v>376</v>
      </c>
      <c r="F58" s="3">
        <v>45858</v>
      </c>
      <c r="G58">
        <v>3</v>
      </c>
      <c r="H58">
        <v>10</v>
      </c>
      <c r="I58">
        <v>3</v>
      </c>
      <c r="J58">
        <v>0</v>
      </c>
    </row>
    <row r="59" spans="1:10" x14ac:dyDescent="0.35">
      <c r="A59" t="s">
        <v>686</v>
      </c>
      <c r="B59" t="s">
        <v>142</v>
      </c>
      <c r="C59">
        <v>1099</v>
      </c>
      <c r="D59" t="s">
        <v>376</v>
      </c>
      <c r="E59" t="s">
        <v>376</v>
      </c>
      <c r="F59" s="3">
        <v>45858</v>
      </c>
      <c r="G59">
        <v>3</v>
      </c>
      <c r="H59">
        <v>10</v>
      </c>
      <c r="I59">
        <v>1</v>
      </c>
      <c r="J59">
        <v>0</v>
      </c>
    </row>
    <row r="60" spans="1:10" x14ac:dyDescent="0.35">
      <c r="A60" t="s">
        <v>686</v>
      </c>
      <c r="B60" t="s">
        <v>142</v>
      </c>
      <c r="C60">
        <v>1099</v>
      </c>
      <c r="D60" t="s">
        <v>376</v>
      </c>
      <c r="E60" t="s">
        <v>376</v>
      </c>
      <c r="F60" s="3">
        <v>45858</v>
      </c>
      <c r="G60">
        <v>3</v>
      </c>
      <c r="H60">
        <v>1</v>
      </c>
      <c r="I60">
        <v>16</v>
      </c>
      <c r="J60">
        <v>0</v>
      </c>
    </row>
    <row r="61" spans="1:10" x14ac:dyDescent="0.35">
      <c r="A61" t="s">
        <v>686</v>
      </c>
      <c r="B61" t="s">
        <v>142</v>
      </c>
      <c r="C61">
        <v>1099</v>
      </c>
      <c r="D61" t="s">
        <v>376</v>
      </c>
      <c r="E61" t="s">
        <v>376</v>
      </c>
      <c r="F61" s="3">
        <v>45858</v>
      </c>
      <c r="G61">
        <v>3</v>
      </c>
      <c r="H61">
        <v>1</v>
      </c>
      <c r="I61">
        <v>1</v>
      </c>
      <c r="J61">
        <v>0</v>
      </c>
    </row>
    <row r="62" spans="1:10" x14ac:dyDescent="0.35">
      <c r="A62" t="s">
        <v>686</v>
      </c>
      <c r="B62" t="s">
        <v>142</v>
      </c>
      <c r="C62">
        <v>1099</v>
      </c>
      <c r="D62" t="s">
        <v>376</v>
      </c>
      <c r="E62" t="s">
        <v>376</v>
      </c>
      <c r="F62" s="3">
        <v>45858</v>
      </c>
      <c r="G62">
        <v>3</v>
      </c>
      <c r="H62">
        <v>1</v>
      </c>
      <c r="I62">
        <v>1</v>
      </c>
      <c r="J62">
        <v>0</v>
      </c>
    </row>
    <row r="63" spans="1:10" x14ac:dyDescent="0.35">
      <c r="A63" t="s">
        <v>686</v>
      </c>
      <c r="B63" t="s">
        <v>142</v>
      </c>
      <c r="C63">
        <v>1099</v>
      </c>
      <c r="D63" t="s">
        <v>376</v>
      </c>
      <c r="E63" t="s">
        <v>376</v>
      </c>
      <c r="F63" s="3">
        <v>45858</v>
      </c>
      <c r="G63">
        <v>3</v>
      </c>
      <c r="H63">
        <v>1</v>
      </c>
      <c r="I63">
        <v>3</v>
      </c>
      <c r="J63">
        <v>0</v>
      </c>
    </row>
    <row r="64" spans="1:10" x14ac:dyDescent="0.35">
      <c r="A64" t="s">
        <v>686</v>
      </c>
      <c r="B64" t="s">
        <v>142</v>
      </c>
      <c r="C64">
        <v>1099</v>
      </c>
      <c r="D64" t="s">
        <v>376</v>
      </c>
      <c r="E64" t="s">
        <v>376</v>
      </c>
      <c r="F64" s="3">
        <v>45858</v>
      </c>
      <c r="G64">
        <v>3</v>
      </c>
      <c r="H64">
        <v>1</v>
      </c>
      <c r="I64">
        <v>1</v>
      </c>
      <c r="J64">
        <v>0</v>
      </c>
    </row>
    <row r="65" spans="1:10" x14ac:dyDescent="0.35">
      <c r="A65" t="s">
        <v>686</v>
      </c>
      <c r="B65" t="s">
        <v>142</v>
      </c>
      <c r="C65">
        <v>1099</v>
      </c>
      <c r="D65" t="s">
        <v>376</v>
      </c>
      <c r="E65" t="s">
        <v>376</v>
      </c>
      <c r="F65" s="3">
        <v>45858</v>
      </c>
      <c r="G65">
        <v>3</v>
      </c>
      <c r="H65">
        <v>1</v>
      </c>
      <c r="I65">
        <v>16</v>
      </c>
      <c r="J65">
        <v>0</v>
      </c>
    </row>
    <row r="66" spans="1:10" x14ac:dyDescent="0.35">
      <c r="A66" t="s">
        <v>686</v>
      </c>
      <c r="B66" t="s">
        <v>142</v>
      </c>
      <c r="C66">
        <v>1099</v>
      </c>
      <c r="D66" t="s">
        <v>376</v>
      </c>
      <c r="E66" t="s">
        <v>376</v>
      </c>
      <c r="F66" s="3">
        <v>45858</v>
      </c>
      <c r="G66">
        <v>3</v>
      </c>
      <c r="H66">
        <v>1</v>
      </c>
      <c r="I66">
        <v>1</v>
      </c>
      <c r="J66">
        <v>0</v>
      </c>
    </row>
    <row r="67" spans="1:10" x14ac:dyDescent="0.35">
      <c r="A67" t="s">
        <v>686</v>
      </c>
      <c r="B67" t="s">
        <v>142</v>
      </c>
      <c r="C67">
        <v>1099</v>
      </c>
      <c r="D67" t="s">
        <v>376</v>
      </c>
      <c r="E67" t="s">
        <v>376</v>
      </c>
      <c r="F67" s="3">
        <v>45858</v>
      </c>
      <c r="G67">
        <v>3</v>
      </c>
      <c r="H67">
        <v>1</v>
      </c>
      <c r="I67">
        <v>1</v>
      </c>
      <c r="J67">
        <v>0</v>
      </c>
    </row>
    <row r="68" spans="1:10" x14ac:dyDescent="0.35">
      <c r="A68" t="s">
        <v>686</v>
      </c>
      <c r="B68" t="s">
        <v>142</v>
      </c>
      <c r="C68">
        <v>1099</v>
      </c>
      <c r="D68" t="s">
        <v>376</v>
      </c>
      <c r="E68" t="s">
        <v>376</v>
      </c>
      <c r="F68" s="3">
        <v>45858</v>
      </c>
      <c r="G68">
        <v>3</v>
      </c>
      <c r="H68">
        <v>1</v>
      </c>
      <c r="I68">
        <v>3</v>
      </c>
      <c r="J68">
        <v>0</v>
      </c>
    </row>
    <row r="69" spans="1:10" x14ac:dyDescent="0.35">
      <c r="A69" t="s">
        <v>686</v>
      </c>
      <c r="B69" t="s">
        <v>142</v>
      </c>
      <c r="C69">
        <v>1099</v>
      </c>
      <c r="D69" t="s">
        <v>376</v>
      </c>
      <c r="E69" t="s">
        <v>376</v>
      </c>
      <c r="F69" s="3">
        <v>45858</v>
      </c>
      <c r="G69">
        <v>3</v>
      </c>
      <c r="H69">
        <v>1</v>
      </c>
      <c r="I69">
        <v>1</v>
      </c>
      <c r="J69">
        <v>0</v>
      </c>
    </row>
    <row r="70" spans="1:10" x14ac:dyDescent="0.35">
      <c r="A70" t="s">
        <v>686</v>
      </c>
      <c r="B70" t="s">
        <v>142</v>
      </c>
      <c r="C70">
        <v>1099</v>
      </c>
      <c r="D70" t="s">
        <v>376</v>
      </c>
      <c r="E70" t="s">
        <v>376</v>
      </c>
      <c r="F70" s="3">
        <v>45858</v>
      </c>
      <c r="G70">
        <v>3</v>
      </c>
      <c r="H70">
        <v>1</v>
      </c>
      <c r="I70">
        <v>16</v>
      </c>
      <c r="J70">
        <v>0</v>
      </c>
    </row>
    <row r="71" spans="1:10" x14ac:dyDescent="0.35">
      <c r="A71" t="s">
        <v>686</v>
      </c>
      <c r="B71" t="s">
        <v>142</v>
      </c>
      <c r="C71">
        <v>1099</v>
      </c>
      <c r="D71" t="s">
        <v>376</v>
      </c>
      <c r="E71" t="s">
        <v>376</v>
      </c>
      <c r="F71" s="3">
        <v>45858</v>
      </c>
      <c r="G71">
        <v>3</v>
      </c>
      <c r="H71">
        <v>1</v>
      </c>
      <c r="I71">
        <v>1</v>
      </c>
      <c r="J71">
        <v>0</v>
      </c>
    </row>
    <row r="72" spans="1:10" x14ac:dyDescent="0.35">
      <c r="A72" t="s">
        <v>686</v>
      </c>
      <c r="B72" t="s">
        <v>142</v>
      </c>
      <c r="C72">
        <v>1099</v>
      </c>
      <c r="D72" t="s">
        <v>376</v>
      </c>
      <c r="E72" t="s">
        <v>376</v>
      </c>
      <c r="F72" s="3">
        <v>45858</v>
      </c>
      <c r="G72">
        <v>3</v>
      </c>
      <c r="H72">
        <v>1</v>
      </c>
      <c r="I72">
        <v>1</v>
      </c>
      <c r="J72">
        <v>0</v>
      </c>
    </row>
    <row r="73" spans="1:10" x14ac:dyDescent="0.35">
      <c r="A73" t="s">
        <v>686</v>
      </c>
      <c r="B73" t="s">
        <v>142</v>
      </c>
      <c r="C73">
        <v>1099</v>
      </c>
      <c r="D73" t="s">
        <v>376</v>
      </c>
      <c r="E73" t="s">
        <v>376</v>
      </c>
      <c r="F73" s="3">
        <v>45858</v>
      </c>
      <c r="G73">
        <v>3</v>
      </c>
      <c r="H73">
        <v>1</v>
      </c>
      <c r="I73">
        <v>3</v>
      </c>
      <c r="J73">
        <v>0</v>
      </c>
    </row>
    <row r="74" spans="1:10" x14ac:dyDescent="0.35">
      <c r="A74" t="s">
        <v>686</v>
      </c>
      <c r="B74" t="s">
        <v>142</v>
      </c>
      <c r="C74">
        <v>1099</v>
      </c>
      <c r="D74" t="s">
        <v>376</v>
      </c>
      <c r="E74" t="s">
        <v>376</v>
      </c>
      <c r="F74" s="3">
        <v>45858</v>
      </c>
      <c r="G74">
        <v>3</v>
      </c>
      <c r="H74">
        <v>1</v>
      </c>
      <c r="I74">
        <v>1</v>
      </c>
      <c r="J74">
        <v>0</v>
      </c>
    </row>
    <row r="75" spans="1:10" x14ac:dyDescent="0.35">
      <c r="A75" t="s">
        <v>686</v>
      </c>
      <c r="B75" t="s">
        <v>142</v>
      </c>
      <c r="C75">
        <v>1099</v>
      </c>
      <c r="D75" t="s">
        <v>376</v>
      </c>
      <c r="E75" t="s">
        <v>376</v>
      </c>
      <c r="F75" s="3">
        <v>45858</v>
      </c>
      <c r="G75">
        <v>3</v>
      </c>
      <c r="H75">
        <v>1</v>
      </c>
      <c r="I75">
        <v>16</v>
      </c>
      <c r="J75">
        <v>0</v>
      </c>
    </row>
    <row r="76" spans="1:10" x14ac:dyDescent="0.35">
      <c r="A76" t="s">
        <v>686</v>
      </c>
      <c r="B76" t="s">
        <v>142</v>
      </c>
      <c r="C76">
        <v>1099</v>
      </c>
      <c r="D76" t="s">
        <v>376</v>
      </c>
      <c r="E76" t="s">
        <v>376</v>
      </c>
      <c r="F76" s="3">
        <v>45858</v>
      </c>
      <c r="G76">
        <v>3</v>
      </c>
      <c r="H76">
        <v>1</v>
      </c>
      <c r="I76">
        <v>1</v>
      </c>
      <c r="J76">
        <v>0</v>
      </c>
    </row>
    <row r="77" spans="1:10" x14ac:dyDescent="0.35">
      <c r="A77" t="s">
        <v>686</v>
      </c>
      <c r="B77" t="s">
        <v>142</v>
      </c>
      <c r="C77">
        <v>1099</v>
      </c>
      <c r="D77" t="s">
        <v>376</v>
      </c>
      <c r="E77" t="s">
        <v>376</v>
      </c>
      <c r="F77" s="3">
        <v>45858</v>
      </c>
      <c r="G77">
        <v>3</v>
      </c>
      <c r="H77">
        <v>1</v>
      </c>
      <c r="I77">
        <v>1</v>
      </c>
      <c r="J77">
        <v>0</v>
      </c>
    </row>
    <row r="78" spans="1:10" x14ac:dyDescent="0.35">
      <c r="A78" t="s">
        <v>686</v>
      </c>
      <c r="B78" t="s">
        <v>142</v>
      </c>
      <c r="C78">
        <v>1099</v>
      </c>
      <c r="D78" t="s">
        <v>376</v>
      </c>
      <c r="E78" t="s">
        <v>376</v>
      </c>
      <c r="F78" s="3">
        <v>45858</v>
      </c>
      <c r="G78">
        <v>3</v>
      </c>
      <c r="H78">
        <v>1</v>
      </c>
      <c r="I78">
        <v>3</v>
      </c>
      <c r="J78">
        <v>0</v>
      </c>
    </row>
    <row r="79" spans="1:10" x14ac:dyDescent="0.35">
      <c r="A79" t="s">
        <v>686</v>
      </c>
      <c r="B79" t="s">
        <v>142</v>
      </c>
      <c r="C79">
        <v>1099</v>
      </c>
      <c r="D79" t="s">
        <v>376</v>
      </c>
      <c r="E79" t="s">
        <v>376</v>
      </c>
      <c r="F79" s="3">
        <v>45858</v>
      </c>
      <c r="G79">
        <v>3</v>
      </c>
      <c r="H79">
        <v>1</v>
      </c>
      <c r="I79">
        <v>1</v>
      </c>
      <c r="J79">
        <v>0</v>
      </c>
    </row>
    <row r="80" spans="1:10" x14ac:dyDescent="0.35">
      <c r="A80" t="s">
        <v>686</v>
      </c>
      <c r="B80" t="s">
        <v>142</v>
      </c>
      <c r="C80">
        <v>1099</v>
      </c>
      <c r="D80" t="s">
        <v>376</v>
      </c>
      <c r="E80" t="s">
        <v>376</v>
      </c>
      <c r="F80" s="3">
        <v>45858</v>
      </c>
      <c r="G80">
        <v>1</v>
      </c>
      <c r="H80">
        <v>10</v>
      </c>
      <c r="I80">
        <v>16</v>
      </c>
      <c r="J80">
        <v>0</v>
      </c>
    </row>
    <row r="81" spans="1:10" x14ac:dyDescent="0.35">
      <c r="A81" t="s">
        <v>686</v>
      </c>
      <c r="B81" t="s">
        <v>142</v>
      </c>
      <c r="C81">
        <v>1099</v>
      </c>
      <c r="D81" t="s">
        <v>376</v>
      </c>
      <c r="E81" t="s">
        <v>376</v>
      </c>
      <c r="F81" s="3">
        <v>45858</v>
      </c>
      <c r="G81">
        <v>1</v>
      </c>
      <c r="H81">
        <v>10</v>
      </c>
      <c r="I81">
        <v>1</v>
      </c>
      <c r="J81">
        <v>0</v>
      </c>
    </row>
    <row r="82" spans="1:10" x14ac:dyDescent="0.35">
      <c r="A82" t="s">
        <v>686</v>
      </c>
      <c r="B82" t="s">
        <v>142</v>
      </c>
      <c r="C82">
        <v>1099</v>
      </c>
      <c r="D82" t="s">
        <v>376</v>
      </c>
      <c r="E82" t="s">
        <v>376</v>
      </c>
      <c r="F82" s="3">
        <v>45858</v>
      </c>
      <c r="G82">
        <v>1</v>
      </c>
      <c r="H82">
        <v>10</v>
      </c>
      <c r="I82">
        <v>1</v>
      </c>
      <c r="J82">
        <v>0</v>
      </c>
    </row>
    <row r="83" spans="1:10" x14ac:dyDescent="0.35">
      <c r="A83" t="s">
        <v>686</v>
      </c>
      <c r="B83" t="s">
        <v>142</v>
      </c>
      <c r="C83">
        <v>1099</v>
      </c>
      <c r="D83" t="s">
        <v>376</v>
      </c>
      <c r="E83" t="s">
        <v>376</v>
      </c>
      <c r="F83" s="3">
        <v>45858</v>
      </c>
      <c r="G83">
        <v>1</v>
      </c>
      <c r="H83">
        <v>10</v>
      </c>
      <c r="I83">
        <v>3</v>
      </c>
      <c r="J83">
        <v>0</v>
      </c>
    </row>
    <row r="84" spans="1:10" x14ac:dyDescent="0.35">
      <c r="A84" t="s">
        <v>686</v>
      </c>
      <c r="B84" t="s">
        <v>142</v>
      </c>
      <c r="C84">
        <v>1099</v>
      </c>
      <c r="D84" t="s">
        <v>376</v>
      </c>
      <c r="E84" t="s">
        <v>376</v>
      </c>
      <c r="F84" s="3">
        <v>45858</v>
      </c>
      <c r="G84">
        <v>1</v>
      </c>
      <c r="H84">
        <v>10</v>
      </c>
      <c r="I84">
        <v>1</v>
      </c>
      <c r="J84">
        <v>0</v>
      </c>
    </row>
    <row r="85" spans="1:10" x14ac:dyDescent="0.35">
      <c r="A85" t="s">
        <v>686</v>
      </c>
      <c r="B85" t="s">
        <v>142</v>
      </c>
      <c r="C85">
        <v>1099</v>
      </c>
      <c r="D85" t="s">
        <v>376</v>
      </c>
      <c r="E85" t="s">
        <v>376</v>
      </c>
      <c r="F85" s="3">
        <v>45858</v>
      </c>
      <c r="G85">
        <v>1</v>
      </c>
      <c r="H85">
        <v>1</v>
      </c>
      <c r="I85">
        <v>16</v>
      </c>
      <c r="J85">
        <v>0</v>
      </c>
    </row>
    <row r="86" spans="1:10" x14ac:dyDescent="0.35">
      <c r="A86" t="s">
        <v>686</v>
      </c>
      <c r="B86" t="s">
        <v>142</v>
      </c>
      <c r="C86">
        <v>1099</v>
      </c>
      <c r="D86" t="s">
        <v>376</v>
      </c>
      <c r="E86" t="s">
        <v>376</v>
      </c>
      <c r="F86" s="3">
        <v>45858</v>
      </c>
      <c r="G86">
        <v>1</v>
      </c>
      <c r="H86">
        <v>1</v>
      </c>
      <c r="I86">
        <v>1</v>
      </c>
      <c r="J86">
        <v>0</v>
      </c>
    </row>
    <row r="87" spans="1:10" x14ac:dyDescent="0.35">
      <c r="A87" t="s">
        <v>686</v>
      </c>
      <c r="B87" t="s">
        <v>142</v>
      </c>
      <c r="C87">
        <v>1099</v>
      </c>
      <c r="D87" t="s">
        <v>376</v>
      </c>
      <c r="E87" t="s">
        <v>376</v>
      </c>
      <c r="F87" s="3">
        <v>45858</v>
      </c>
      <c r="G87">
        <v>1</v>
      </c>
      <c r="H87">
        <v>1</v>
      </c>
      <c r="I87">
        <v>1</v>
      </c>
      <c r="J87">
        <v>0</v>
      </c>
    </row>
    <row r="88" spans="1:10" x14ac:dyDescent="0.35">
      <c r="A88" t="s">
        <v>686</v>
      </c>
      <c r="B88" t="s">
        <v>142</v>
      </c>
      <c r="C88">
        <v>1099</v>
      </c>
      <c r="D88" t="s">
        <v>376</v>
      </c>
      <c r="E88" t="s">
        <v>376</v>
      </c>
      <c r="F88" s="3">
        <v>45858</v>
      </c>
      <c r="G88">
        <v>1</v>
      </c>
      <c r="H88">
        <v>1</v>
      </c>
      <c r="I88">
        <v>3</v>
      </c>
      <c r="J88">
        <v>0</v>
      </c>
    </row>
    <row r="89" spans="1:10" x14ac:dyDescent="0.35">
      <c r="A89" t="s">
        <v>686</v>
      </c>
      <c r="B89" t="s">
        <v>142</v>
      </c>
      <c r="C89">
        <v>1099</v>
      </c>
      <c r="D89" t="s">
        <v>376</v>
      </c>
      <c r="E89" t="s">
        <v>376</v>
      </c>
      <c r="F89" s="3">
        <v>45858</v>
      </c>
      <c r="G89">
        <v>1</v>
      </c>
      <c r="H89">
        <v>1</v>
      </c>
      <c r="I89">
        <v>1</v>
      </c>
      <c r="J89">
        <v>0</v>
      </c>
    </row>
    <row r="90" spans="1:10" x14ac:dyDescent="0.35">
      <c r="A90" t="s">
        <v>686</v>
      </c>
      <c r="B90" t="s">
        <v>142</v>
      </c>
      <c r="C90">
        <v>1099</v>
      </c>
      <c r="D90" t="s">
        <v>376</v>
      </c>
      <c r="E90" t="s">
        <v>376</v>
      </c>
      <c r="F90" s="3">
        <v>45858</v>
      </c>
      <c r="G90">
        <v>1</v>
      </c>
      <c r="H90">
        <v>1</v>
      </c>
      <c r="I90">
        <v>16</v>
      </c>
      <c r="J90">
        <v>0</v>
      </c>
    </row>
    <row r="91" spans="1:10" x14ac:dyDescent="0.35">
      <c r="A91" t="s">
        <v>686</v>
      </c>
      <c r="B91" t="s">
        <v>142</v>
      </c>
      <c r="C91">
        <v>1099</v>
      </c>
      <c r="D91" t="s">
        <v>376</v>
      </c>
      <c r="E91" t="s">
        <v>376</v>
      </c>
      <c r="F91" s="3">
        <v>45858</v>
      </c>
      <c r="G91">
        <v>1</v>
      </c>
      <c r="H91">
        <v>1</v>
      </c>
      <c r="I91">
        <v>1</v>
      </c>
      <c r="J91">
        <v>0</v>
      </c>
    </row>
    <row r="92" spans="1:10" x14ac:dyDescent="0.35">
      <c r="A92" t="s">
        <v>686</v>
      </c>
      <c r="B92" t="s">
        <v>142</v>
      </c>
      <c r="C92">
        <v>1099</v>
      </c>
      <c r="D92" t="s">
        <v>376</v>
      </c>
      <c r="E92" t="s">
        <v>376</v>
      </c>
      <c r="F92" s="3">
        <v>45858</v>
      </c>
      <c r="G92">
        <v>1</v>
      </c>
      <c r="H92">
        <v>1</v>
      </c>
      <c r="I92">
        <v>1</v>
      </c>
      <c r="J92">
        <v>0</v>
      </c>
    </row>
    <row r="93" spans="1:10" x14ac:dyDescent="0.35">
      <c r="A93" t="s">
        <v>686</v>
      </c>
      <c r="B93" t="s">
        <v>142</v>
      </c>
      <c r="C93">
        <v>1099</v>
      </c>
      <c r="D93" t="s">
        <v>376</v>
      </c>
      <c r="E93" t="s">
        <v>376</v>
      </c>
      <c r="F93" s="3">
        <v>45858</v>
      </c>
      <c r="G93">
        <v>1</v>
      </c>
      <c r="H93">
        <v>1</v>
      </c>
      <c r="I93">
        <v>3</v>
      </c>
      <c r="J93">
        <v>0</v>
      </c>
    </row>
    <row r="94" spans="1:10" x14ac:dyDescent="0.35">
      <c r="A94" t="s">
        <v>686</v>
      </c>
      <c r="B94" t="s">
        <v>142</v>
      </c>
      <c r="C94">
        <v>1099</v>
      </c>
      <c r="D94" t="s">
        <v>376</v>
      </c>
      <c r="E94" t="s">
        <v>376</v>
      </c>
      <c r="F94" s="3">
        <v>45858</v>
      </c>
      <c r="G94">
        <v>1</v>
      </c>
      <c r="H94">
        <v>1</v>
      </c>
      <c r="I94">
        <v>1</v>
      </c>
      <c r="J94">
        <v>0</v>
      </c>
    </row>
    <row r="95" spans="1:10" x14ac:dyDescent="0.35">
      <c r="A95" t="s">
        <v>686</v>
      </c>
      <c r="B95" t="s">
        <v>142</v>
      </c>
      <c r="C95">
        <v>1099</v>
      </c>
      <c r="D95" t="s">
        <v>376</v>
      </c>
      <c r="E95" t="s">
        <v>376</v>
      </c>
      <c r="F95" s="3">
        <v>45858</v>
      </c>
      <c r="G95">
        <v>1</v>
      </c>
      <c r="H95">
        <v>1</v>
      </c>
      <c r="I95">
        <v>16</v>
      </c>
      <c r="J95">
        <v>0</v>
      </c>
    </row>
    <row r="96" spans="1:10" x14ac:dyDescent="0.35">
      <c r="A96" t="s">
        <v>686</v>
      </c>
      <c r="B96" t="s">
        <v>142</v>
      </c>
      <c r="C96">
        <v>1099</v>
      </c>
      <c r="D96" t="s">
        <v>376</v>
      </c>
      <c r="E96" t="s">
        <v>376</v>
      </c>
      <c r="F96" s="3">
        <v>45858</v>
      </c>
      <c r="G96">
        <v>1</v>
      </c>
      <c r="H96">
        <v>1</v>
      </c>
      <c r="I96">
        <v>1</v>
      </c>
      <c r="J96">
        <v>0</v>
      </c>
    </row>
    <row r="97" spans="1:10" x14ac:dyDescent="0.35">
      <c r="A97" t="s">
        <v>686</v>
      </c>
      <c r="B97" t="s">
        <v>142</v>
      </c>
      <c r="C97">
        <v>1099</v>
      </c>
      <c r="D97" t="s">
        <v>376</v>
      </c>
      <c r="E97" t="s">
        <v>376</v>
      </c>
      <c r="F97" s="3">
        <v>45858</v>
      </c>
      <c r="G97">
        <v>1</v>
      </c>
      <c r="H97">
        <v>1</v>
      </c>
      <c r="I97">
        <v>1</v>
      </c>
      <c r="J97">
        <v>0</v>
      </c>
    </row>
    <row r="98" spans="1:10" x14ac:dyDescent="0.35">
      <c r="A98" t="s">
        <v>686</v>
      </c>
      <c r="B98" t="s">
        <v>142</v>
      </c>
      <c r="C98">
        <v>1099</v>
      </c>
      <c r="D98" t="s">
        <v>376</v>
      </c>
      <c r="E98" t="s">
        <v>376</v>
      </c>
      <c r="F98" s="3">
        <v>45858</v>
      </c>
      <c r="G98">
        <v>1</v>
      </c>
      <c r="H98">
        <v>1</v>
      </c>
      <c r="I98">
        <v>3</v>
      </c>
      <c r="J98">
        <v>0</v>
      </c>
    </row>
    <row r="99" spans="1:10" x14ac:dyDescent="0.35">
      <c r="A99" t="s">
        <v>686</v>
      </c>
      <c r="B99" t="s">
        <v>142</v>
      </c>
      <c r="C99">
        <v>1099</v>
      </c>
      <c r="D99" t="s">
        <v>376</v>
      </c>
      <c r="E99" t="s">
        <v>376</v>
      </c>
      <c r="F99" s="3">
        <v>45858</v>
      </c>
      <c r="G99">
        <v>1</v>
      </c>
      <c r="H99">
        <v>1</v>
      </c>
      <c r="I99">
        <v>1</v>
      </c>
      <c r="J99">
        <v>0</v>
      </c>
    </row>
    <row r="100" spans="1:10" x14ac:dyDescent="0.35">
      <c r="A100" t="s">
        <v>686</v>
      </c>
      <c r="B100" t="s">
        <v>142</v>
      </c>
      <c r="C100">
        <v>1099</v>
      </c>
      <c r="D100" t="s">
        <v>376</v>
      </c>
      <c r="E100" t="s">
        <v>376</v>
      </c>
      <c r="F100" s="3">
        <v>45858</v>
      </c>
      <c r="G100">
        <v>1</v>
      </c>
      <c r="H100">
        <v>1</v>
      </c>
      <c r="I100">
        <v>16</v>
      </c>
      <c r="J100">
        <v>0</v>
      </c>
    </row>
    <row r="101" spans="1:10" x14ac:dyDescent="0.35">
      <c r="A101" t="s">
        <v>686</v>
      </c>
      <c r="B101" t="s">
        <v>142</v>
      </c>
      <c r="C101">
        <v>1099</v>
      </c>
      <c r="D101" t="s">
        <v>376</v>
      </c>
      <c r="E101" t="s">
        <v>376</v>
      </c>
      <c r="F101" s="3">
        <v>45858</v>
      </c>
      <c r="G101">
        <v>1</v>
      </c>
      <c r="H101">
        <v>1</v>
      </c>
      <c r="I101">
        <v>1</v>
      </c>
      <c r="J101">
        <v>0</v>
      </c>
    </row>
    <row r="102" spans="1:10" x14ac:dyDescent="0.35">
      <c r="A102" t="s">
        <v>686</v>
      </c>
      <c r="B102" t="s">
        <v>142</v>
      </c>
      <c r="C102">
        <v>1099</v>
      </c>
      <c r="D102" t="s">
        <v>376</v>
      </c>
      <c r="E102" t="s">
        <v>376</v>
      </c>
      <c r="F102" s="3">
        <v>45858</v>
      </c>
      <c r="G102">
        <v>1</v>
      </c>
      <c r="H102">
        <v>1</v>
      </c>
      <c r="I102">
        <v>1</v>
      </c>
      <c r="J102">
        <v>0</v>
      </c>
    </row>
    <row r="103" spans="1:10" x14ac:dyDescent="0.35">
      <c r="A103" t="s">
        <v>686</v>
      </c>
      <c r="B103" t="s">
        <v>142</v>
      </c>
      <c r="C103">
        <v>1099</v>
      </c>
      <c r="D103" t="s">
        <v>376</v>
      </c>
      <c r="E103" t="s">
        <v>376</v>
      </c>
      <c r="F103" s="3">
        <v>45858</v>
      </c>
      <c r="G103">
        <v>1</v>
      </c>
      <c r="H103">
        <v>1</v>
      </c>
      <c r="I103">
        <v>3</v>
      </c>
      <c r="J103">
        <v>0</v>
      </c>
    </row>
    <row r="104" spans="1:10" x14ac:dyDescent="0.35">
      <c r="A104" t="s">
        <v>686</v>
      </c>
      <c r="B104" t="s">
        <v>142</v>
      </c>
      <c r="C104">
        <v>1099</v>
      </c>
      <c r="D104" t="s">
        <v>376</v>
      </c>
      <c r="E104" t="s">
        <v>376</v>
      </c>
      <c r="F104" s="3">
        <v>45858</v>
      </c>
      <c r="G104">
        <v>1</v>
      </c>
      <c r="H104">
        <v>1</v>
      </c>
      <c r="I104">
        <v>1</v>
      </c>
      <c r="J104">
        <v>0</v>
      </c>
    </row>
    <row r="105" spans="1:10" x14ac:dyDescent="0.35">
      <c r="A105" t="s">
        <v>686</v>
      </c>
      <c r="B105" t="s">
        <v>225</v>
      </c>
      <c r="C105">
        <v>1099</v>
      </c>
      <c r="D105" t="s">
        <v>376</v>
      </c>
      <c r="E105" t="s">
        <v>376</v>
      </c>
      <c r="F105" s="3">
        <v>45858</v>
      </c>
      <c r="G105">
        <v>0</v>
      </c>
      <c r="H105">
        <v>0</v>
      </c>
      <c r="I105">
        <v>3</v>
      </c>
      <c r="J105">
        <v>0</v>
      </c>
    </row>
    <row r="106" spans="1:10" x14ac:dyDescent="0.35">
      <c r="A106" t="s">
        <v>686</v>
      </c>
      <c r="B106" t="s">
        <v>156</v>
      </c>
      <c r="C106">
        <v>1099</v>
      </c>
      <c r="D106" t="s">
        <v>376</v>
      </c>
      <c r="E106" t="s">
        <v>376</v>
      </c>
      <c r="F106" s="3">
        <v>45858</v>
      </c>
      <c r="G106">
        <v>0</v>
      </c>
      <c r="H106">
        <v>0</v>
      </c>
      <c r="I106">
        <v>0</v>
      </c>
      <c r="J106">
        <v>0</v>
      </c>
    </row>
    <row r="107" spans="1:10" x14ac:dyDescent="0.35">
      <c r="A107" t="s">
        <v>686</v>
      </c>
      <c r="B107" t="s">
        <v>226</v>
      </c>
      <c r="C107">
        <v>1099</v>
      </c>
      <c r="D107" t="s">
        <v>376</v>
      </c>
      <c r="E107" t="s">
        <v>376</v>
      </c>
      <c r="F107" s="3">
        <v>45858</v>
      </c>
      <c r="G107">
        <v>0</v>
      </c>
      <c r="H107">
        <v>0</v>
      </c>
      <c r="I107">
        <v>1</v>
      </c>
      <c r="J107">
        <v>0</v>
      </c>
    </row>
    <row r="108" spans="1:10" x14ac:dyDescent="0.35">
      <c r="A108" t="s">
        <v>686</v>
      </c>
      <c r="B108" t="s">
        <v>219</v>
      </c>
      <c r="C108">
        <v>1099</v>
      </c>
      <c r="D108" t="s">
        <v>376</v>
      </c>
      <c r="E108" t="s">
        <v>376</v>
      </c>
      <c r="F108" s="3">
        <v>45858</v>
      </c>
      <c r="G108">
        <v>0</v>
      </c>
      <c r="H108">
        <v>1</v>
      </c>
      <c r="I108">
        <v>0</v>
      </c>
      <c r="J108">
        <v>0</v>
      </c>
    </row>
    <row r="109" spans="1:10" x14ac:dyDescent="0.35">
      <c r="A109" t="s">
        <v>686</v>
      </c>
      <c r="B109" t="s">
        <v>227</v>
      </c>
      <c r="C109">
        <v>1099</v>
      </c>
      <c r="D109" t="s">
        <v>376</v>
      </c>
      <c r="E109" t="s">
        <v>376</v>
      </c>
      <c r="F109" s="3">
        <v>45858</v>
      </c>
      <c r="G109">
        <v>0</v>
      </c>
      <c r="H109">
        <v>0</v>
      </c>
      <c r="I109">
        <v>0</v>
      </c>
      <c r="J109">
        <v>0</v>
      </c>
    </row>
    <row r="110" spans="1:10" x14ac:dyDescent="0.35">
      <c r="A110" t="s">
        <v>686</v>
      </c>
      <c r="B110" t="s">
        <v>155</v>
      </c>
      <c r="C110">
        <v>1099</v>
      </c>
      <c r="D110" t="s">
        <v>376</v>
      </c>
      <c r="E110" t="s">
        <v>376</v>
      </c>
      <c r="F110" s="3">
        <v>45858</v>
      </c>
      <c r="G110">
        <v>1</v>
      </c>
      <c r="H110">
        <v>0</v>
      </c>
      <c r="I110">
        <v>0</v>
      </c>
      <c r="J110">
        <v>0</v>
      </c>
    </row>
    <row r="111" spans="1:10" x14ac:dyDescent="0.35">
      <c r="A111" t="s">
        <v>686</v>
      </c>
      <c r="B111" t="s">
        <v>258</v>
      </c>
      <c r="C111">
        <v>1099</v>
      </c>
      <c r="D111" t="s">
        <v>376</v>
      </c>
      <c r="E111" t="s">
        <v>376</v>
      </c>
      <c r="F111" s="3">
        <v>45858</v>
      </c>
      <c r="G111">
        <v>0</v>
      </c>
      <c r="H111">
        <v>0</v>
      </c>
      <c r="I111">
        <v>0</v>
      </c>
      <c r="J111">
        <v>0</v>
      </c>
    </row>
    <row r="112" spans="1:10" x14ac:dyDescent="0.35">
      <c r="A112" t="s">
        <v>686</v>
      </c>
      <c r="B112" t="s">
        <v>259</v>
      </c>
      <c r="C112">
        <v>1099</v>
      </c>
      <c r="D112" t="s">
        <v>376</v>
      </c>
      <c r="E112" t="s">
        <v>376</v>
      </c>
      <c r="F112" s="3">
        <v>45858</v>
      </c>
      <c r="G112">
        <v>0</v>
      </c>
      <c r="H112">
        <v>1</v>
      </c>
      <c r="I112">
        <v>0</v>
      </c>
      <c r="J112">
        <v>0</v>
      </c>
    </row>
    <row r="113" spans="1:10" x14ac:dyDescent="0.35">
      <c r="A113" t="s">
        <v>686</v>
      </c>
      <c r="B113" t="s">
        <v>261</v>
      </c>
      <c r="C113">
        <v>1099</v>
      </c>
      <c r="D113" t="s">
        <v>376</v>
      </c>
      <c r="E113" t="s">
        <v>376</v>
      </c>
      <c r="F113" s="3">
        <v>45858</v>
      </c>
      <c r="G113">
        <v>0</v>
      </c>
      <c r="H113">
        <v>1</v>
      </c>
      <c r="I113">
        <v>0</v>
      </c>
      <c r="J113">
        <v>0</v>
      </c>
    </row>
    <row r="114" spans="1:10" x14ac:dyDescent="0.35">
      <c r="A114" t="s">
        <v>687</v>
      </c>
      <c r="B114" t="s">
        <v>220</v>
      </c>
      <c r="C114">
        <v>1099</v>
      </c>
      <c r="D114" t="s">
        <v>376</v>
      </c>
      <c r="E114" t="s">
        <v>376</v>
      </c>
      <c r="F114" s="3">
        <v>45858</v>
      </c>
      <c r="G114">
        <v>0</v>
      </c>
      <c r="H114">
        <v>0</v>
      </c>
      <c r="I114">
        <v>0</v>
      </c>
      <c r="J114">
        <v>0</v>
      </c>
    </row>
    <row r="115" spans="1:10" x14ac:dyDescent="0.35">
      <c r="A115" t="s">
        <v>687</v>
      </c>
      <c r="B115" t="s">
        <v>153</v>
      </c>
      <c r="C115">
        <v>1099</v>
      </c>
      <c r="D115" t="s">
        <v>376</v>
      </c>
      <c r="E115" t="s">
        <v>376</v>
      </c>
      <c r="F115" s="3">
        <v>45858</v>
      </c>
      <c r="G115">
        <v>1</v>
      </c>
      <c r="H115">
        <v>2</v>
      </c>
      <c r="I115">
        <v>5</v>
      </c>
      <c r="J115">
        <v>0</v>
      </c>
    </row>
    <row r="116" spans="1:10" x14ac:dyDescent="0.35">
      <c r="A116" t="s">
        <v>687</v>
      </c>
      <c r="B116" t="s">
        <v>154</v>
      </c>
      <c r="C116">
        <v>1099</v>
      </c>
      <c r="D116" t="s">
        <v>376</v>
      </c>
      <c r="E116" t="s">
        <v>376</v>
      </c>
      <c r="F116" s="3">
        <v>45858</v>
      </c>
      <c r="G116">
        <v>0</v>
      </c>
      <c r="H116">
        <v>0</v>
      </c>
      <c r="I116">
        <v>2</v>
      </c>
      <c r="J116">
        <v>0</v>
      </c>
    </row>
    <row r="117" spans="1:10" x14ac:dyDescent="0.35">
      <c r="A117" t="s">
        <v>687</v>
      </c>
      <c r="B117" t="s">
        <v>221</v>
      </c>
      <c r="C117">
        <v>1099</v>
      </c>
      <c r="D117" t="s">
        <v>376</v>
      </c>
      <c r="E117" t="s">
        <v>376</v>
      </c>
      <c r="F117" s="3">
        <v>45858</v>
      </c>
      <c r="G117">
        <v>0</v>
      </c>
      <c r="H117">
        <v>0</v>
      </c>
      <c r="I117">
        <v>0</v>
      </c>
      <c r="J117">
        <v>0</v>
      </c>
    </row>
    <row r="118" spans="1:10" x14ac:dyDescent="0.35">
      <c r="A118" t="s">
        <v>687</v>
      </c>
      <c r="B118" t="s">
        <v>222</v>
      </c>
      <c r="C118">
        <v>1099</v>
      </c>
      <c r="D118" t="s">
        <v>376</v>
      </c>
      <c r="E118" t="s">
        <v>376</v>
      </c>
      <c r="F118" s="3">
        <v>45858</v>
      </c>
      <c r="G118">
        <v>0</v>
      </c>
      <c r="H118">
        <v>0</v>
      </c>
      <c r="I118">
        <v>0</v>
      </c>
      <c r="J118">
        <v>0</v>
      </c>
    </row>
    <row r="119" spans="1:10" x14ac:dyDescent="0.35">
      <c r="A119" t="s">
        <v>687</v>
      </c>
      <c r="B119" t="s">
        <v>223</v>
      </c>
      <c r="C119">
        <v>1099</v>
      </c>
      <c r="D119" t="s">
        <v>376</v>
      </c>
      <c r="E119" t="s">
        <v>376</v>
      </c>
      <c r="F119" s="3">
        <v>45858</v>
      </c>
      <c r="G119">
        <v>0</v>
      </c>
      <c r="H119">
        <v>0</v>
      </c>
      <c r="I119">
        <v>0</v>
      </c>
      <c r="J119">
        <v>0</v>
      </c>
    </row>
    <row r="120" spans="1:10" x14ac:dyDescent="0.35">
      <c r="A120" t="s">
        <v>687</v>
      </c>
      <c r="B120" t="s">
        <v>224</v>
      </c>
      <c r="C120">
        <v>1099</v>
      </c>
      <c r="D120" t="s">
        <v>376</v>
      </c>
      <c r="E120" t="s">
        <v>376</v>
      </c>
      <c r="F120" s="3">
        <v>45858</v>
      </c>
      <c r="G120">
        <v>0</v>
      </c>
      <c r="H120">
        <v>0</v>
      </c>
      <c r="I120">
        <v>0</v>
      </c>
      <c r="J120">
        <v>0</v>
      </c>
    </row>
    <row r="121" spans="1:10" x14ac:dyDescent="0.35">
      <c r="A121" t="s">
        <v>687</v>
      </c>
      <c r="B121" t="s">
        <v>142</v>
      </c>
      <c r="C121">
        <v>1099</v>
      </c>
      <c r="D121" t="s">
        <v>376</v>
      </c>
      <c r="E121" t="s">
        <v>376</v>
      </c>
      <c r="F121" s="3">
        <v>45858</v>
      </c>
      <c r="G121">
        <v>1</v>
      </c>
      <c r="H121">
        <v>2</v>
      </c>
      <c r="I121">
        <v>5</v>
      </c>
      <c r="J121">
        <v>0</v>
      </c>
    </row>
    <row r="122" spans="1:10" x14ac:dyDescent="0.35">
      <c r="A122" t="s">
        <v>687</v>
      </c>
      <c r="B122" t="s">
        <v>142</v>
      </c>
      <c r="C122">
        <v>1099</v>
      </c>
      <c r="D122" t="s">
        <v>376</v>
      </c>
      <c r="E122" t="s">
        <v>376</v>
      </c>
      <c r="F122" s="3">
        <v>45858</v>
      </c>
      <c r="G122">
        <v>1</v>
      </c>
      <c r="H122">
        <v>2</v>
      </c>
      <c r="I122">
        <v>2</v>
      </c>
      <c r="J122">
        <v>0</v>
      </c>
    </row>
    <row r="123" spans="1:10" x14ac:dyDescent="0.35">
      <c r="A123" t="s">
        <v>687</v>
      </c>
      <c r="B123" t="s">
        <v>142</v>
      </c>
      <c r="C123">
        <v>1099</v>
      </c>
      <c r="D123" t="s">
        <v>376</v>
      </c>
      <c r="E123" t="s">
        <v>376</v>
      </c>
      <c r="F123" s="3">
        <v>45858</v>
      </c>
      <c r="G123">
        <v>1</v>
      </c>
      <c r="H123">
        <v>2</v>
      </c>
      <c r="I123">
        <v>1</v>
      </c>
      <c r="J123">
        <v>0</v>
      </c>
    </row>
    <row r="124" spans="1:10" x14ac:dyDescent="0.35">
      <c r="A124" t="s">
        <v>687</v>
      </c>
      <c r="B124" t="s">
        <v>142</v>
      </c>
      <c r="C124">
        <v>1099</v>
      </c>
      <c r="D124" t="s">
        <v>376</v>
      </c>
      <c r="E124" t="s">
        <v>376</v>
      </c>
      <c r="F124" s="3">
        <v>45858</v>
      </c>
      <c r="G124">
        <v>1</v>
      </c>
      <c r="H124">
        <v>2</v>
      </c>
      <c r="I124">
        <v>1</v>
      </c>
      <c r="J124">
        <v>0</v>
      </c>
    </row>
    <row r="125" spans="1:10" x14ac:dyDescent="0.35">
      <c r="A125" t="s">
        <v>687</v>
      </c>
      <c r="B125" t="s">
        <v>142</v>
      </c>
      <c r="C125">
        <v>1099</v>
      </c>
      <c r="D125" t="s">
        <v>376</v>
      </c>
      <c r="E125" t="s">
        <v>376</v>
      </c>
      <c r="F125" s="3">
        <v>45858</v>
      </c>
      <c r="G125">
        <v>1</v>
      </c>
      <c r="H125">
        <v>1</v>
      </c>
      <c r="I125">
        <v>5</v>
      </c>
      <c r="J125">
        <v>0</v>
      </c>
    </row>
    <row r="126" spans="1:10" x14ac:dyDescent="0.35">
      <c r="A126" t="s">
        <v>687</v>
      </c>
      <c r="B126" t="s">
        <v>142</v>
      </c>
      <c r="C126">
        <v>1099</v>
      </c>
      <c r="D126" t="s">
        <v>376</v>
      </c>
      <c r="E126" t="s">
        <v>376</v>
      </c>
      <c r="F126" s="3">
        <v>45858</v>
      </c>
      <c r="G126">
        <v>1</v>
      </c>
      <c r="H126">
        <v>1</v>
      </c>
      <c r="I126">
        <v>2</v>
      </c>
      <c r="J126">
        <v>0</v>
      </c>
    </row>
    <row r="127" spans="1:10" x14ac:dyDescent="0.35">
      <c r="A127" t="s">
        <v>687</v>
      </c>
      <c r="B127" t="s">
        <v>142</v>
      </c>
      <c r="C127">
        <v>1099</v>
      </c>
      <c r="D127" t="s">
        <v>376</v>
      </c>
      <c r="E127" t="s">
        <v>376</v>
      </c>
      <c r="F127" s="3">
        <v>45858</v>
      </c>
      <c r="G127">
        <v>1</v>
      </c>
      <c r="H127">
        <v>1</v>
      </c>
      <c r="I127">
        <v>1</v>
      </c>
      <c r="J127">
        <v>0</v>
      </c>
    </row>
    <row r="128" spans="1:10" x14ac:dyDescent="0.35">
      <c r="A128" t="s">
        <v>687</v>
      </c>
      <c r="B128" t="s">
        <v>142</v>
      </c>
      <c r="C128">
        <v>1099</v>
      </c>
      <c r="D128" t="s">
        <v>376</v>
      </c>
      <c r="E128" t="s">
        <v>376</v>
      </c>
      <c r="F128" s="3">
        <v>45858</v>
      </c>
      <c r="G128">
        <v>1</v>
      </c>
      <c r="H128">
        <v>1</v>
      </c>
      <c r="I128">
        <v>1</v>
      </c>
      <c r="J128">
        <v>0</v>
      </c>
    </row>
    <row r="129" spans="1:10" x14ac:dyDescent="0.35">
      <c r="A129" t="s">
        <v>687</v>
      </c>
      <c r="B129" t="s">
        <v>142</v>
      </c>
      <c r="C129">
        <v>1099</v>
      </c>
      <c r="D129" t="s">
        <v>376</v>
      </c>
      <c r="E129" t="s">
        <v>376</v>
      </c>
      <c r="F129" s="3">
        <v>45858</v>
      </c>
      <c r="G129">
        <v>1</v>
      </c>
      <c r="H129">
        <v>1</v>
      </c>
      <c r="I129">
        <v>5</v>
      </c>
      <c r="J129">
        <v>0</v>
      </c>
    </row>
    <row r="130" spans="1:10" x14ac:dyDescent="0.35">
      <c r="A130" t="s">
        <v>687</v>
      </c>
      <c r="B130" t="s">
        <v>142</v>
      </c>
      <c r="C130">
        <v>1099</v>
      </c>
      <c r="D130" t="s">
        <v>376</v>
      </c>
      <c r="E130" t="s">
        <v>376</v>
      </c>
      <c r="F130" s="3">
        <v>45858</v>
      </c>
      <c r="G130">
        <v>1</v>
      </c>
      <c r="H130">
        <v>1</v>
      </c>
      <c r="I130">
        <v>2</v>
      </c>
      <c r="J130">
        <v>0</v>
      </c>
    </row>
    <row r="131" spans="1:10" x14ac:dyDescent="0.35">
      <c r="A131" t="s">
        <v>687</v>
      </c>
      <c r="B131" t="s">
        <v>142</v>
      </c>
      <c r="C131">
        <v>1099</v>
      </c>
      <c r="D131" t="s">
        <v>376</v>
      </c>
      <c r="E131" t="s">
        <v>376</v>
      </c>
      <c r="F131" s="3">
        <v>45858</v>
      </c>
      <c r="G131">
        <v>1</v>
      </c>
      <c r="H131">
        <v>1</v>
      </c>
      <c r="I131">
        <v>1</v>
      </c>
      <c r="J131">
        <v>0</v>
      </c>
    </row>
    <row r="132" spans="1:10" x14ac:dyDescent="0.35">
      <c r="A132" t="s">
        <v>687</v>
      </c>
      <c r="B132" t="s">
        <v>142</v>
      </c>
      <c r="C132">
        <v>1099</v>
      </c>
      <c r="D132" t="s">
        <v>376</v>
      </c>
      <c r="E132" t="s">
        <v>376</v>
      </c>
      <c r="F132" s="3">
        <v>45858</v>
      </c>
      <c r="G132">
        <v>1</v>
      </c>
      <c r="H132">
        <v>1</v>
      </c>
      <c r="I132">
        <v>1</v>
      </c>
      <c r="J132">
        <v>0</v>
      </c>
    </row>
    <row r="133" spans="1:10" x14ac:dyDescent="0.35">
      <c r="A133" t="s">
        <v>687</v>
      </c>
      <c r="B133" t="s">
        <v>142</v>
      </c>
      <c r="C133">
        <v>1099</v>
      </c>
      <c r="D133" t="s">
        <v>376</v>
      </c>
      <c r="E133" t="s">
        <v>376</v>
      </c>
      <c r="F133" s="3">
        <v>45858</v>
      </c>
      <c r="G133">
        <v>1</v>
      </c>
      <c r="H133">
        <v>1</v>
      </c>
      <c r="I133">
        <v>5</v>
      </c>
      <c r="J133">
        <v>0</v>
      </c>
    </row>
    <row r="134" spans="1:10" x14ac:dyDescent="0.35">
      <c r="A134" t="s">
        <v>687</v>
      </c>
      <c r="B134" t="s">
        <v>142</v>
      </c>
      <c r="C134">
        <v>1099</v>
      </c>
      <c r="D134" t="s">
        <v>376</v>
      </c>
      <c r="E134" t="s">
        <v>376</v>
      </c>
      <c r="F134" s="3">
        <v>45858</v>
      </c>
      <c r="G134">
        <v>1</v>
      </c>
      <c r="H134">
        <v>1</v>
      </c>
      <c r="I134">
        <v>2</v>
      </c>
      <c r="J134">
        <v>0</v>
      </c>
    </row>
    <row r="135" spans="1:10" x14ac:dyDescent="0.35">
      <c r="A135" t="s">
        <v>687</v>
      </c>
      <c r="B135" t="s">
        <v>142</v>
      </c>
      <c r="C135">
        <v>1099</v>
      </c>
      <c r="D135" t="s">
        <v>376</v>
      </c>
      <c r="E135" t="s">
        <v>376</v>
      </c>
      <c r="F135" s="3">
        <v>45858</v>
      </c>
      <c r="G135">
        <v>1</v>
      </c>
      <c r="H135">
        <v>1</v>
      </c>
      <c r="I135">
        <v>1</v>
      </c>
      <c r="J135">
        <v>0</v>
      </c>
    </row>
    <row r="136" spans="1:10" x14ac:dyDescent="0.35">
      <c r="A136" t="s">
        <v>687</v>
      </c>
      <c r="B136" t="s">
        <v>142</v>
      </c>
      <c r="C136">
        <v>1099</v>
      </c>
      <c r="D136" t="s">
        <v>376</v>
      </c>
      <c r="E136" t="s">
        <v>376</v>
      </c>
      <c r="F136" s="3">
        <v>45858</v>
      </c>
      <c r="G136">
        <v>1</v>
      </c>
      <c r="H136">
        <v>1</v>
      </c>
      <c r="I136">
        <v>1</v>
      </c>
      <c r="J136">
        <v>0</v>
      </c>
    </row>
    <row r="137" spans="1:10" x14ac:dyDescent="0.35">
      <c r="A137" t="s">
        <v>687</v>
      </c>
      <c r="B137" t="s">
        <v>225</v>
      </c>
      <c r="C137">
        <v>1099</v>
      </c>
      <c r="D137" t="s">
        <v>376</v>
      </c>
      <c r="E137" t="s">
        <v>376</v>
      </c>
      <c r="F137" s="3">
        <v>45858</v>
      </c>
      <c r="G137">
        <v>0</v>
      </c>
      <c r="H137">
        <v>0</v>
      </c>
      <c r="I137">
        <v>1</v>
      </c>
      <c r="J137">
        <v>0</v>
      </c>
    </row>
    <row r="138" spans="1:10" x14ac:dyDescent="0.35">
      <c r="A138" t="s">
        <v>687</v>
      </c>
      <c r="B138" t="s">
        <v>156</v>
      </c>
      <c r="C138">
        <v>1099</v>
      </c>
      <c r="D138" t="s">
        <v>376</v>
      </c>
      <c r="E138" t="s">
        <v>376</v>
      </c>
      <c r="F138" s="3">
        <v>45858</v>
      </c>
      <c r="G138">
        <v>0</v>
      </c>
      <c r="H138">
        <v>1</v>
      </c>
      <c r="I138">
        <v>0</v>
      </c>
      <c r="J138">
        <v>0</v>
      </c>
    </row>
    <row r="139" spans="1:10" x14ac:dyDescent="0.35">
      <c r="A139" t="s">
        <v>687</v>
      </c>
      <c r="B139" t="s">
        <v>226</v>
      </c>
      <c r="C139">
        <v>1099</v>
      </c>
      <c r="D139" t="s">
        <v>376</v>
      </c>
      <c r="E139" t="s">
        <v>376</v>
      </c>
      <c r="F139" s="3">
        <v>45858</v>
      </c>
      <c r="G139">
        <v>0</v>
      </c>
      <c r="H139">
        <v>0</v>
      </c>
      <c r="I139">
        <v>0</v>
      </c>
      <c r="J139">
        <v>0</v>
      </c>
    </row>
    <row r="140" spans="1:10" x14ac:dyDescent="0.35">
      <c r="A140" t="s">
        <v>687</v>
      </c>
      <c r="B140" t="s">
        <v>219</v>
      </c>
      <c r="C140">
        <v>1099</v>
      </c>
      <c r="D140" t="s">
        <v>376</v>
      </c>
      <c r="E140" t="s">
        <v>376</v>
      </c>
      <c r="F140" s="3">
        <v>45858</v>
      </c>
      <c r="G140">
        <v>0</v>
      </c>
      <c r="H140">
        <v>1</v>
      </c>
      <c r="I140">
        <v>0</v>
      </c>
      <c r="J140">
        <v>0</v>
      </c>
    </row>
    <row r="141" spans="1:10" x14ac:dyDescent="0.35">
      <c r="A141" t="s">
        <v>687</v>
      </c>
      <c r="B141" t="s">
        <v>227</v>
      </c>
      <c r="C141">
        <v>1099</v>
      </c>
      <c r="D141" t="s">
        <v>376</v>
      </c>
      <c r="E141" t="s">
        <v>376</v>
      </c>
      <c r="F141" s="3">
        <v>45858</v>
      </c>
      <c r="G141">
        <v>0</v>
      </c>
      <c r="H141">
        <v>0</v>
      </c>
      <c r="I141">
        <v>0</v>
      </c>
      <c r="J141">
        <v>0</v>
      </c>
    </row>
    <row r="142" spans="1:10" x14ac:dyDescent="0.35">
      <c r="A142" t="s">
        <v>687</v>
      </c>
      <c r="B142" t="s">
        <v>155</v>
      </c>
      <c r="C142">
        <v>1099</v>
      </c>
      <c r="D142" t="s">
        <v>376</v>
      </c>
      <c r="E142" t="s">
        <v>376</v>
      </c>
      <c r="F142" s="3">
        <v>45858</v>
      </c>
      <c r="G142">
        <v>0</v>
      </c>
      <c r="H142">
        <v>0</v>
      </c>
      <c r="I142">
        <v>0</v>
      </c>
      <c r="J142">
        <v>0</v>
      </c>
    </row>
    <row r="143" spans="1:10" x14ac:dyDescent="0.35">
      <c r="A143" t="s">
        <v>687</v>
      </c>
      <c r="B143" t="s">
        <v>258</v>
      </c>
      <c r="C143">
        <v>1099</v>
      </c>
      <c r="D143" t="s">
        <v>376</v>
      </c>
      <c r="E143" t="s">
        <v>376</v>
      </c>
      <c r="F143" s="3">
        <v>45858</v>
      </c>
      <c r="G143">
        <v>0</v>
      </c>
      <c r="H143">
        <v>0</v>
      </c>
      <c r="I143">
        <v>0</v>
      </c>
      <c r="J143">
        <v>0</v>
      </c>
    </row>
    <row r="144" spans="1:10" x14ac:dyDescent="0.35">
      <c r="A144" t="s">
        <v>687</v>
      </c>
      <c r="B144" t="s">
        <v>259</v>
      </c>
      <c r="C144">
        <v>1099</v>
      </c>
      <c r="D144" t="s">
        <v>376</v>
      </c>
      <c r="E144" t="s">
        <v>376</v>
      </c>
      <c r="F144" s="3">
        <v>45858</v>
      </c>
      <c r="G144">
        <v>0</v>
      </c>
      <c r="H144">
        <v>1</v>
      </c>
      <c r="I144">
        <v>1</v>
      </c>
      <c r="J144">
        <v>0</v>
      </c>
    </row>
    <row r="145" spans="1:10" x14ac:dyDescent="0.35">
      <c r="A145" t="s">
        <v>687</v>
      </c>
      <c r="B145" t="s">
        <v>261</v>
      </c>
      <c r="C145">
        <v>1099</v>
      </c>
      <c r="D145" t="s">
        <v>376</v>
      </c>
      <c r="E145" t="s">
        <v>376</v>
      </c>
      <c r="F145" s="3">
        <v>45858</v>
      </c>
      <c r="G145">
        <v>0</v>
      </c>
      <c r="H145">
        <v>0</v>
      </c>
      <c r="I145">
        <v>0</v>
      </c>
      <c r="J145">
        <v>0</v>
      </c>
    </row>
    <row r="146" spans="1:10" x14ac:dyDescent="0.35">
      <c r="A146" t="s">
        <v>688</v>
      </c>
      <c r="B146" t="s">
        <v>220</v>
      </c>
      <c r="C146">
        <v>1099</v>
      </c>
      <c r="D146" t="s">
        <v>376</v>
      </c>
      <c r="E146" t="s">
        <v>376</v>
      </c>
      <c r="F146" s="3">
        <v>45858</v>
      </c>
      <c r="G146">
        <v>0</v>
      </c>
      <c r="H146">
        <v>0</v>
      </c>
      <c r="I146">
        <v>0</v>
      </c>
      <c r="J146">
        <v>0</v>
      </c>
    </row>
    <row r="147" spans="1:10" x14ac:dyDescent="0.35">
      <c r="A147" t="s">
        <v>688</v>
      </c>
      <c r="B147" t="s">
        <v>153</v>
      </c>
      <c r="C147">
        <v>1099</v>
      </c>
      <c r="D147" t="s">
        <v>376</v>
      </c>
      <c r="E147" t="s">
        <v>376</v>
      </c>
      <c r="F147" s="3">
        <v>45858</v>
      </c>
      <c r="G147">
        <v>0</v>
      </c>
      <c r="H147">
        <v>1</v>
      </c>
      <c r="I147">
        <v>5</v>
      </c>
      <c r="J147">
        <v>0</v>
      </c>
    </row>
    <row r="148" spans="1:10" x14ac:dyDescent="0.35">
      <c r="A148" t="s">
        <v>688</v>
      </c>
      <c r="B148" t="s">
        <v>154</v>
      </c>
      <c r="C148">
        <v>1099</v>
      </c>
      <c r="D148" t="s">
        <v>376</v>
      </c>
      <c r="E148" t="s">
        <v>376</v>
      </c>
      <c r="F148" s="3">
        <v>45858</v>
      </c>
      <c r="G148">
        <v>0</v>
      </c>
      <c r="H148">
        <v>0</v>
      </c>
      <c r="I148">
        <v>0</v>
      </c>
      <c r="J148">
        <v>0</v>
      </c>
    </row>
    <row r="149" spans="1:10" x14ac:dyDescent="0.35">
      <c r="A149" t="s">
        <v>688</v>
      </c>
      <c r="B149" t="s">
        <v>221</v>
      </c>
      <c r="C149">
        <v>1099</v>
      </c>
      <c r="D149" t="s">
        <v>376</v>
      </c>
      <c r="E149" t="s">
        <v>376</v>
      </c>
      <c r="F149" s="3">
        <v>45858</v>
      </c>
      <c r="G149">
        <v>0</v>
      </c>
      <c r="H149">
        <v>0</v>
      </c>
      <c r="I149">
        <v>0</v>
      </c>
      <c r="J149">
        <v>0</v>
      </c>
    </row>
    <row r="150" spans="1:10" x14ac:dyDescent="0.35">
      <c r="A150" t="s">
        <v>688</v>
      </c>
      <c r="B150" t="s">
        <v>222</v>
      </c>
      <c r="C150">
        <v>1099</v>
      </c>
      <c r="D150" t="s">
        <v>376</v>
      </c>
      <c r="E150" t="s">
        <v>376</v>
      </c>
      <c r="F150" s="3">
        <v>45858</v>
      </c>
      <c r="G150">
        <v>0</v>
      </c>
      <c r="H150">
        <v>0</v>
      </c>
      <c r="I150">
        <v>0</v>
      </c>
      <c r="J150">
        <v>0</v>
      </c>
    </row>
    <row r="151" spans="1:10" x14ac:dyDescent="0.35">
      <c r="A151" t="s">
        <v>688</v>
      </c>
      <c r="B151" t="s">
        <v>223</v>
      </c>
      <c r="C151">
        <v>1099</v>
      </c>
      <c r="D151" t="s">
        <v>376</v>
      </c>
      <c r="E151" t="s">
        <v>376</v>
      </c>
      <c r="F151" s="3">
        <v>45858</v>
      </c>
      <c r="G151">
        <v>0</v>
      </c>
      <c r="H151">
        <v>0</v>
      </c>
      <c r="I151">
        <v>0</v>
      </c>
      <c r="J151">
        <v>0</v>
      </c>
    </row>
    <row r="152" spans="1:10" x14ac:dyDescent="0.35">
      <c r="A152" t="s">
        <v>688</v>
      </c>
      <c r="B152" t="s">
        <v>224</v>
      </c>
      <c r="C152">
        <v>1099</v>
      </c>
      <c r="D152" t="s">
        <v>376</v>
      </c>
      <c r="E152" t="s">
        <v>376</v>
      </c>
      <c r="F152" s="3">
        <v>45858</v>
      </c>
      <c r="G152">
        <v>0</v>
      </c>
      <c r="H152">
        <v>0</v>
      </c>
      <c r="I152">
        <v>0</v>
      </c>
      <c r="J152">
        <v>0</v>
      </c>
    </row>
    <row r="153" spans="1:10" x14ac:dyDescent="0.35">
      <c r="A153" t="s">
        <v>688</v>
      </c>
      <c r="B153" t="s">
        <v>142</v>
      </c>
      <c r="C153">
        <v>1099</v>
      </c>
      <c r="D153" t="s">
        <v>376</v>
      </c>
      <c r="E153" t="s">
        <v>376</v>
      </c>
      <c r="F153" s="3">
        <v>45858</v>
      </c>
      <c r="G153">
        <v>1</v>
      </c>
      <c r="H153">
        <v>1</v>
      </c>
      <c r="I153">
        <v>5</v>
      </c>
      <c r="J153">
        <v>0</v>
      </c>
    </row>
    <row r="154" spans="1:10" x14ac:dyDescent="0.35">
      <c r="A154" t="s">
        <v>688</v>
      </c>
      <c r="B154" t="s">
        <v>142</v>
      </c>
      <c r="C154">
        <v>1099</v>
      </c>
      <c r="D154" t="s">
        <v>376</v>
      </c>
      <c r="E154" t="s">
        <v>376</v>
      </c>
      <c r="F154" s="3">
        <v>45858</v>
      </c>
      <c r="G154">
        <v>1</v>
      </c>
      <c r="H154">
        <v>1</v>
      </c>
      <c r="I154">
        <v>5</v>
      </c>
      <c r="J154">
        <v>0</v>
      </c>
    </row>
    <row r="155" spans="1:10" x14ac:dyDescent="0.35">
      <c r="A155" t="s">
        <v>688</v>
      </c>
      <c r="B155" t="s">
        <v>142</v>
      </c>
      <c r="C155">
        <v>1099</v>
      </c>
      <c r="D155" t="s">
        <v>376</v>
      </c>
      <c r="E155" t="s">
        <v>376</v>
      </c>
      <c r="F155" s="3">
        <v>45858</v>
      </c>
      <c r="G155">
        <v>1</v>
      </c>
      <c r="H155">
        <v>1</v>
      </c>
      <c r="I155">
        <v>5</v>
      </c>
      <c r="J155">
        <v>0</v>
      </c>
    </row>
    <row r="156" spans="1:10" x14ac:dyDescent="0.35">
      <c r="A156" t="s">
        <v>688</v>
      </c>
      <c r="B156" t="s">
        <v>142</v>
      </c>
      <c r="C156">
        <v>1099</v>
      </c>
      <c r="D156" t="s">
        <v>376</v>
      </c>
      <c r="E156" t="s">
        <v>376</v>
      </c>
      <c r="F156" s="3">
        <v>45858</v>
      </c>
      <c r="G156">
        <v>1</v>
      </c>
      <c r="H156">
        <v>1</v>
      </c>
      <c r="I156">
        <v>5</v>
      </c>
      <c r="J156">
        <v>0</v>
      </c>
    </row>
    <row r="157" spans="1:10" x14ac:dyDescent="0.35">
      <c r="A157" t="s">
        <v>688</v>
      </c>
      <c r="B157" t="s">
        <v>225</v>
      </c>
      <c r="C157">
        <v>1099</v>
      </c>
      <c r="D157" t="s">
        <v>376</v>
      </c>
      <c r="E157" t="s">
        <v>376</v>
      </c>
      <c r="F157" s="3">
        <v>45858</v>
      </c>
      <c r="G157">
        <v>0</v>
      </c>
      <c r="H157">
        <v>1</v>
      </c>
      <c r="I157">
        <v>0</v>
      </c>
      <c r="J157">
        <v>0</v>
      </c>
    </row>
    <row r="158" spans="1:10" x14ac:dyDescent="0.35">
      <c r="A158" t="s">
        <v>688</v>
      </c>
      <c r="B158" t="s">
        <v>156</v>
      </c>
      <c r="C158">
        <v>1099</v>
      </c>
      <c r="D158" t="s">
        <v>376</v>
      </c>
      <c r="E158" t="s">
        <v>376</v>
      </c>
      <c r="F158" s="3">
        <v>45858</v>
      </c>
      <c r="G158">
        <v>0</v>
      </c>
      <c r="H158">
        <v>0</v>
      </c>
      <c r="I158">
        <v>0</v>
      </c>
      <c r="J158">
        <v>0</v>
      </c>
    </row>
    <row r="159" spans="1:10" x14ac:dyDescent="0.35">
      <c r="A159" t="s">
        <v>688</v>
      </c>
      <c r="B159" t="s">
        <v>226</v>
      </c>
      <c r="C159">
        <v>1099</v>
      </c>
      <c r="D159" t="s">
        <v>376</v>
      </c>
      <c r="E159" t="s">
        <v>376</v>
      </c>
      <c r="F159" s="3">
        <v>45858</v>
      </c>
      <c r="G159">
        <v>0</v>
      </c>
      <c r="H159">
        <v>1</v>
      </c>
      <c r="I159">
        <v>0</v>
      </c>
      <c r="J159">
        <v>0</v>
      </c>
    </row>
    <row r="160" spans="1:10" x14ac:dyDescent="0.35">
      <c r="A160" t="s">
        <v>688</v>
      </c>
      <c r="B160" t="s">
        <v>219</v>
      </c>
      <c r="C160">
        <v>1099</v>
      </c>
      <c r="D160" t="s">
        <v>376</v>
      </c>
      <c r="E160" t="s">
        <v>376</v>
      </c>
      <c r="F160" s="3">
        <v>45858</v>
      </c>
      <c r="G160">
        <v>0</v>
      </c>
      <c r="H160">
        <v>0</v>
      </c>
      <c r="I160">
        <v>0</v>
      </c>
      <c r="J160">
        <v>0</v>
      </c>
    </row>
    <row r="161" spans="1:10" x14ac:dyDescent="0.35">
      <c r="A161" t="s">
        <v>688</v>
      </c>
      <c r="B161" t="s">
        <v>227</v>
      </c>
      <c r="C161">
        <v>1099</v>
      </c>
      <c r="D161" t="s">
        <v>376</v>
      </c>
      <c r="E161" t="s">
        <v>376</v>
      </c>
      <c r="F161" s="3">
        <v>45858</v>
      </c>
      <c r="G161">
        <v>0</v>
      </c>
      <c r="H161">
        <v>0</v>
      </c>
      <c r="I161">
        <v>0</v>
      </c>
      <c r="J161">
        <v>0</v>
      </c>
    </row>
    <row r="162" spans="1:10" x14ac:dyDescent="0.35">
      <c r="A162" t="s">
        <v>688</v>
      </c>
      <c r="B162" t="s">
        <v>155</v>
      </c>
      <c r="C162">
        <v>1099</v>
      </c>
      <c r="D162" t="s">
        <v>376</v>
      </c>
      <c r="E162" t="s">
        <v>376</v>
      </c>
      <c r="F162" s="3">
        <v>45858</v>
      </c>
      <c r="G162">
        <v>1</v>
      </c>
      <c r="H162">
        <v>0</v>
      </c>
      <c r="I162">
        <v>0</v>
      </c>
      <c r="J162">
        <v>0</v>
      </c>
    </row>
    <row r="163" spans="1:10" x14ac:dyDescent="0.35">
      <c r="A163" t="s">
        <v>688</v>
      </c>
      <c r="B163" t="s">
        <v>258</v>
      </c>
      <c r="C163">
        <v>1099</v>
      </c>
      <c r="D163" t="s">
        <v>376</v>
      </c>
      <c r="E163" t="s">
        <v>376</v>
      </c>
      <c r="F163" s="3">
        <v>45858</v>
      </c>
      <c r="G163">
        <v>0</v>
      </c>
      <c r="H163">
        <v>0</v>
      </c>
      <c r="I163">
        <v>0</v>
      </c>
      <c r="J163">
        <v>0</v>
      </c>
    </row>
    <row r="164" spans="1:10" x14ac:dyDescent="0.35">
      <c r="A164" t="s">
        <v>688</v>
      </c>
      <c r="B164" t="s">
        <v>259</v>
      </c>
      <c r="C164">
        <v>1099</v>
      </c>
      <c r="D164" t="s">
        <v>376</v>
      </c>
      <c r="E164" t="s">
        <v>376</v>
      </c>
      <c r="F164" s="3">
        <v>45858</v>
      </c>
      <c r="G164">
        <v>0</v>
      </c>
      <c r="H164">
        <v>0</v>
      </c>
      <c r="I164">
        <v>0</v>
      </c>
      <c r="J164">
        <v>0</v>
      </c>
    </row>
    <row r="165" spans="1:10" x14ac:dyDescent="0.35">
      <c r="A165" t="s">
        <v>688</v>
      </c>
      <c r="B165" t="s">
        <v>261</v>
      </c>
      <c r="C165">
        <v>1099</v>
      </c>
      <c r="D165" t="s">
        <v>376</v>
      </c>
      <c r="E165" t="s">
        <v>376</v>
      </c>
      <c r="F165" s="3">
        <v>45858</v>
      </c>
      <c r="G165">
        <v>0</v>
      </c>
      <c r="H165">
        <v>1</v>
      </c>
      <c r="I165">
        <v>0</v>
      </c>
      <c r="J16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A4067-C099-45D8-B529-DE2C124B2B57}">
  <sheetPr codeName="Sheet12"/>
  <dimension ref="A1:D2"/>
  <sheetViews>
    <sheetView workbookViewId="0">
      <selection sqref="A1:XFD1048576"/>
    </sheetView>
  </sheetViews>
  <sheetFormatPr defaultRowHeight="14.4" x14ac:dyDescent="0.35"/>
  <cols>
    <col min="1" max="1" width="24.5546875" bestFit="1" customWidth="1"/>
    <col min="2" max="2" width="11.44140625" bestFit="1" customWidth="1"/>
    <col min="3" max="3" width="12.44140625" bestFit="1" customWidth="1"/>
    <col min="4" max="4" width="16" bestFit="1" customWidth="1"/>
  </cols>
  <sheetData>
    <row r="1" spans="1:4" x14ac:dyDescent="0.35">
      <c r="B1" t="s">
        <v>157</v>
      </c>
      <c r="C1" t="s">
        <v>158</v>
      </c>
      <c r="D1" t="s">
        <v>159</v>
      </c>
    </row>
    <row r="2" spans="1:4" x14ac:dyDescent="0.35">
      <c r="A2" t="s">
        <v>160</v>
      </c>
      <c r="B2">
        <v>102</v>
      </c>
      <c r="C2">
        <v>23</v>
      </c>
      <c r="D2">
        <v>0.81599999999999995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B4B2-8AB7-466D-B0BD-CB0F1023999D}">
  <sheetPr codeName="Sheet9"/>
  <dimension ref="A1:G126"/>
  <sheetViews>
    <sheetView topLeftCell="A527" zoomScale="77" workbookViewId="0">
      <selection sqref="A1:XFD1048576"/>
    </sheetView>
  </sheetViews>
  <sheetFormatPr defaultRowHeight="14.4" x14ac:dyDescent="0.35"/>
  <cols>
    <col min="1" max="1" width="7.109375" bestFit="1" customWidth="1"/>
    <col min="2" max="2" width="11.33203125" bestFit="1" customWidth="1"/>
    <col min="3" max="3" width="15.88671875" bestFit="1" customWidth="1"/>
    <col min="4" max="4" width="4.6640625" bestFit="1" customWidth="1"/>
    <col min="5" max="5" width="8.5546875" bestFit="1" customWidth="1"/>
    <col min="6" max="6" width="75.33203125" bestFit="1" customWidth="1"/>
    <col min="7" max="7" width="15" bestFit="1" customWidth="1"/>
    <col min="8" max="8" width="5.6640625" bestFit="1" customWidth="1"/>
    <col min="9" max="10" width="6.33203125" bestFit="1" customWidth="1"/>
  </cols>
  <sheetData>
    <row r="1" spans="1:7" x14ac:dyDescent="0.35">
      <c r="A1" t="s">
        <v>47</v>
      </c>
      <c r="B1" t="s">
        <v>367</v>
      </c>
      <c r="C1" t="s">
        <v>368</v>
      </c>
      <c r="D1" t="s">
        <v>369</v>
      </c>
      <c r="E1" t="s">
        <v>410</v>
      </c>
    </row>
    <row r="2" spans="1:7" x14ac:dyDescent="0.35">
      <c r="A2">
        <v>1099</v>
      </c>
      <c r="B2" t="s">
        <v>685</v>
      </c>
      <c r="C2" t="s">
        <v>469</v>
      </c>
      <c r="D2">
        <v>2</v>
      </c>
      <c r="E2" t="s">
        <v>129</v>
      </c>
      <c r="G2" s="2">
        <v>45755</v>
      </c>
    </row>
    <row r="3" spans="1:7" x14ac:dyDescent="0.35">
      <c r="A3">
        <v>1099</v>
      </c>
      <c r="B3" t="s">
        <v>685</v>
      </c>
      <c r="C3" t="s">
        <v>470</v>
      </c>
      <c r="D3">
        <v>1</v>
      </c>
      <c r="E3" t="s">
        <v>129</v>
      </c>
      <c r="G3" s="2">
        <v>45756</v>
      </c>
    </row>
    <row r="4" spans="1:7" x14ac:dyDescent="0.35">
      <c r="A4">
        <v>1099</v>
      </c>
      <c r="B4" t="s">
        <v>685</v>
      </c>
      <c r="C4" t="s">
        <v>471</v>
      </c>
      <c r="D4">
        <v>2</v>
      </c>
      <c r="E4" t="s">
        <v>129</v>
      </c>
      <c r="G4" s="2">
        <v>45756</v>
      </c>
    </row>
    <row r="5" spans="1:7" x14ac:dyDescent="0.35">
      <c r="A5">
        <v>1099</v>
      </c>
      <c r="B5" t="s">
        <v>685</v>
      </c>
      <c r="C5" t="s">
        <v>471</v>
      </c>
      <c r="D5">
        <v>2</v>
      </c>
      <c r="E5" t="s">
        <v>129</v>
      </c>
      <c r="G5" s="2">
        <v>45756</v>
      </c>
    </row>
    <row r="6" spans="1:7" x14ac:dyDescent="0.35">
      <c r="A6">
        <v>1099</v>
      </c>
      <c r="B6" t="s">
        <v>685</v>
      </c>
      <c r="C6" t="s">
        <v>470</v>
      </c>
      <c r="D6">
        <v>2</v>
      </c>
      <c r="E6" t="s">
        <v>129</v>
      </c>
      <c r="G6" s="2">
        <v>45756</v>
      </c>
    </row>
    <row r="7" spans="1:7" x14ac:dyDescent="0.35">
      <c r="A7">
        <v>1099</v>
      </c>
      <c r="B7" t="s">
        <v>685</v>
      </c>
      <c r="C7" t="s">
        <v>472</v>
      </c>
      <c r="D7">
        <v>2</v>
      </c>
      <c r="E7" t="s">
        <v>129</v>
      </c>
      <c r="G7" s="2">
        <v>45756</v>
      </c>
    </row>
    <row r="8" spans="1:7" x14ac:dyDescent="0.35">
      <c r="A8">
        <v>1099</v>
      </c>
      <c r="B8" t="s">
        <v>685</v>
      </c>
      <c r="C8" t="s">
        <v>473</v>
      </c>
      <c r="D8">
        <v>2</v>
      </c>
      <c r="E8" t="s">
        <v>129</v>
      </c>
      <c r="G8" s="2">
        <v>45756</v>
      </c>
    </row>
    <row r="9" spans="1:7" x14ac:dyDescent="0.35">
      <c r="A9">
        <v>1099</v>
      </c>
      <c r="B9" t="s">
        <v>685</v>
      </c>
      <c r="C9" t="s">
        <v>471</v>
      </c>
      <c r="D9">
        <v>2</v>
      </c>
      <c r="E9" t="s">
        <v>129</v>
      </c>
      <c r="G9" s="2">
        <v>45756</v>
      </c>
    </row>
    <row r="10" spans="1:7" x14ac:dyDescent="0.35">
      <c r="A10">
        <v>1099</v>
      </c>
      <c r="B10" t="s">
        <v>685</v>
      </c>
      <c r="C10" t="s">
        <v>473</v>
      </c>
      <c r="D10">
        <v>2</v>
      </c>
      <c r="E10" t="s">
        <v>129</v>
      </c>
      <c r="G10" s="2">
        <v>45756</v>
      </c>
    </row>
    <row r="11" spans="1:7" x14ac:dyDescent="0.35">
      <c r="A11">
        <v>1099</v>
      </c>
      <c r="B11" t="s">
        <v>685</v>
      </c>
      <c r="C11" t="s">
        <v>470</v>
      </c>
      <c r="D11">
        <v>2</v>
      </c>
      <c r="E11" t="s">
        <v>129</v>
      </c>
      <c r="G11" s="2">
        <v>45756</v>
      </c>
    </row>
    <row r="12" spans="1:7" x14ac:dyDescent="0.35">
      <c r="A12">
        <v>1099</v>
      </c>
      <c r="B12" t="s">
        <v>685</v>
      </c>
      <c r="C12" t="s">
        <v>470</v>
      </c>
      <c r="D12">
        <v>2</v>
      </c>
      <c r="E12" t="s">
        <v>129</v>
      </c>
      <c r="G12" s="2">
        <v>45756</v>
      </c>
    </row>
    <row r="13" spans="1:7" x14ac:dyDescent="0.35">
      <c r="A13">
        <v>1099</v>
      </c>
      <c r="B13" t="s">
        <v>685</v>
      </c>
      <c r="C13" t="s">
        <v>471</v>
      </c>
      <c r="D13">
        <v>2</v>
      </c>
      <c r="E13" t="s">
        <v>129</v>
      </c>
      <c r="G13" s="2">
        <v>45757</v>
      </c>
    </row>
    <row r="14" spans="1:7" x14ac:dyDescent="0.35">
      <c r="A14">
        <v>1099</v>
      </c>
      <c r="B14" t="s">
        <v>685</v>
      </c>
      <c r="C14" t="s">
        <v>470</v>
      </c>
      <c r="D14">
        <v>1</v>
      </c>
      <c r="E14" t="s">
        <v>129</v>
      </c>
      <c r="G14" s="2">
        <v>45757</v>
      </c>
    </row>
    <row r="15" spans="1:7" x14ac:dyDescent="0.35">
      <c r="A15">
        <v>1099</v>
      </c>
      <c r="B15" t="s">
        <v>685</v>
      </c>
      <c r="C15" t="s">
        <v>469</v>
      </c>
      <c r="D15">
        <v>2</v>
      </c>
      <c r="E15" t="s">
        <v>129</v>
      </c>
      <c r="G15" s="2">
        <v>45757</v>
      </c>
    </row>
    <row r="16" spans="1:7" x14ac:dyDescent="0.35">
      <c r="A16">
        <v>1099</v>
      </c>
      <c r="B16" t="s">
        <v>685</v>
      </c>
      <c r="C16" t="s">
        <v>470</v>
      </c>
      <c r="D16">
        <v>1</v>
      </c>
      <c r="E16" t="s">
        <v>129</v>
      </c>
      <c r="G16" s="2">
        <v>45757</v>
      </c>
    </row>
    <row r="17" spans="1:7" x14ac:dyDescent="0.35">
      <c r="A17">
        <v>1099</v>
      </c>
      <c r="B17" t="s">
        <v>685</v>
      </c>
      <c r="C17" t="s">
        <v>473</v>
      </c>
      <c r="D17">
        <v>2</v>
      </c>
      <c r="E17" t="s">
        <v>129</v>
      </c>
      <c r="G17" s="2">
        <v>45757</v>
      </c>
    </row>
    <row r="18" spans="1:7" x14ac:dyDescent="0.35">
      <c r="A18">
        <v>1099</v>
      </c>
      <c r="B18" t="s">
        <v>685</v>
      </c>
      <c r="C18" t="s">
        <v>470</v>
      </c>
      <c r="D18">
        <v>2</v>
      </c>
      <c r="E18" t="s">
        <v>129</v>
      </c>
      <c r="G18" s="2">
        <v>45758</v>
      </c>
    </row>
    <row r="19" spans="1:7" x14ac:dyDescent="0.35">
      <c r="A19">
        <v>1099</v>
      </c>
      <c r="B19" t="s">
        <v>685</v>
      </c>
      <c r="C19" t="s">
        <v>473</v>
      </c>
      <c r="D19">
        <v>2</v>
      </c>
      <c r="E19" t="s">
        <v>129</v>
      </c>
      <c r="G19" s="2">
        <v>45758</v>
      </c>
    </row>
    <row r="20" spans="1:7" x14ac:dyDescent="0.35">
      <c r="A20">
        <v>1099</v>
      </c>
      <c r="B20" t="s">
        <v>685</v>
      </c>
      <c r="C20" t="s">
        <v>471</v>
      </c>
      <c r="D20">
        <v>2</v>
      </c>
      <c r="E20" t="s">
        <v>129</v>
      </c>
      <c r="G20" s="2">
        <v>45758</v>
      </c>
    </row>
    <row r="21" spans="1:7" x14ac:dyDescent="0.35">
      <c r="A21">
        <v>1099</v>
      </c>
      <c r="B21" t="s">
        <v>685</v>
      </c>
      <c r="C21" t="s">
        <v>470</v>
      </c>
      <c r="D21">
        <v>3</v>
      </c>
      <c r="E21" t="s">
        <v>129</v>
      </c>
      <c r="G21" s="2">
        <v>45758</v>
      </c>
    </row>
    <row r="22" spans="1:7" x14ac:dyDescent="0.35">
      <c r="A22">
        <v>1099</v>
      </c>
      <c r="B22" t="s">
        <v>685</v>
      </c>
      <c r="C22" t="s">
        <v>474</v>
      </c>
      <c r="D22">
        <v>2</v>
      </c>
      <c r="E22" t="s">
        <v>129</v>
      </c>
      <c r="G22" s="2">
        <v>45761</v>
      </c>
    </row>
    <row r="23" spans="1:7" x14ac:dyDescent="0.35">
      <c r="A23">
        <v>1099</v>
      </c>
      <c r="B23" t="s">
        <v>685</v>
      </c>
      <c r="C23" t="s">
        <v>473</v>
      </c>
      <c r="D23">
        <v>2</v>
      </c>
      <c r="E23" t="s">
        <v>129</v>
      </c>
      <c r="G23" s="2">
        <v>45761</v>
      </c>
    </row>
    <row r="24" spans="1:7" x14ac:dyDescent="0.35">
      <c r="A24">
        <v>1099</v>
      </c>
      <c r="B24" t="s">
        <v>685</v>
      </c>
      <c r="C24" t="s">
        <v>475</v>
      </c>
      <c r="D24">
        <v>2</v>
      </c>
      <c r="E24" t="s">
        <v>129</v>
      </c>
      <c r="G24" s="2">
        <v>45761</v>
      </c>
    </row>
    <row r="25" spans="1:7" x14ac:dyDescent="0.35">
      <c r="A25">
        <v>1099</v>
      </c>
      <c r="B25" t="s">
        <v>685</v>
      </c>
      <c r="C25" t="s">
        <v>471</v>
      </c>
      <c r="D25">
        <v>2</v>
      </c>
      <c r="E25" t="s">
        <v>129</v>
      </c>
      <c r="G25" s="2">
        <v>45763</v>
      </c>
    </row>
    <row r="26" spans="1:7" x14ac:dyDescent="0.35">
      <c r="A26">
        <v>1099</v>
      </c>
      <c r="B26" t="s">
        <v>685</v>
      </c>
      <c r="C26" t="s">
        <v>470</v>
      </c>
      <c r="D26">
        <v>3</v>
      </c>
      <c r="E26" t="s">
        <v>129</v>
      </c>
      <c r="G26" s="2">
        <v>45763</v>
      </c>
    </row>
    <row r="27" spans="1:7" x14ac:dyDescent="0.35">
      <c r="A27">
        <v>1099</v>
      </c>
      <c r="B27" t="s">
        <v>685</v>
      </c>
      <c r="C27" t="s">
        <v>471</v>
      </c>
      <c r="D27">
        <v>3</v>
      </c>
      <c r="E27" t="s">
        <v>129</v>
      </c>
      <c r="G27" s="2">
        <v>45763</v>
      </c>
    </row>
    <row r="28" spans="1:7" x14ac:dyDescent="0.35">
      <c r="A28">
        <v>1099</v>
      </c>
      <c r="B28" t="s">
        <v>685</v>
      </c>
      <c r="C28" t="s">
        <v>470</v>
      </c>
      <c r="D28">
        <v>3</v>
      </c>
      <c r="E28" t="s">
        <v>129</v>
      </c>
      <c r="G28" s="2">
        <v>45763</v>
      </c>
    </row>
    <row r="29" spans="1:7" x14ac:dyDescent="0.35">
      <c r="A29">
        <v>1099</v>
      </c>
      <c r="B29" t="s">
        <v>685</v>
      </c>
      <c r="C29" t="s">
        <v>476</v>
      </c>
      <c r="D29">
        <v>1</v>
      </c>
      <c r="E29" t="s">
        <v>129</v>
      </c>
      <c r="G29" s="2">
        <v>45763</v>
      </c>
    </row>
    <row r="30" spans="1:7" x14ac:dyDescent="0.35">
      <c r="A30">
        <v>1099</v>
      </c>
      <c r="B30" t="s">
        <v>685</v>
      </c>
      <c r="C30" t="s">
        <v>470</v>
      </c>
      <c r="D30">
        <v>3</v>
      </c>
      <c r="E30" t="s">
        <v>129</v>
      </c>
      <c r="G30" s="2">
        <v>45764</v>
      </c>
    </row>
    <row r="31" spans="1:7" x14ac:dyDescent="0.35">
      <c r="A31">
        <v>1099</v>
      </c>
      <c r="B31" t="s">
        <v>685</v>
      </c>
      <c r="C31" t="s">
        <v>470</v>
      </c>
      <c r="D31">
        <v>3</v>
      </c>
      <c r="E31" t="s">
        <v>129</v>
      </c>
      <c r="G31" s="2">
        <v>45765</v>
      </c>
    </row>
    <row r="32" spans="1:7" x14ac:dyDescent="0.35">
      <c r="A32">
        <v>1099</v>
      </c>
      <c r="B32" t="s">
        <v>685</v>
      </c>
      <c r="C32" t="s">
        <v>470</v>
      </c>
      <c r="D32">
        <v>3</v>
      </c>
      <c r="E32" t="s">
        <v>129</v>
      </c>
      <c r="G32" s="2">
        <v>45768</v>
      </c>
    </row>
    <row r="33" spans="1:7" x14ac:dyDescent="0.35">
      <c r="A33">
        <v>1099</v>
      </c>
      <c r="B33" t="s">
        <v>685</v>
      </c>
      <c r="C33" t="s">
        <v>475</v>
      </c>
      <c r="D33">
        <v>1</v>
      </c>
      <c r="E33" t="s">
        <v>129</v>
      </c>
      <c r="G33" s="2">
        <v>45769</v>
      </c>
    </row>
    <row r="34" spans="1:7" x14ac:dyDescent="0.35">
      <c r="A34">
        <v>1099</v>
      </c>
      <c r="B34" t="s">
        <v>685</v>
      </c>
      <c r="C34" t="s">
        <v>470</v>
      </c>
      <c r="D34">
        <v>1</v>
      </c>
      <c r="E34" t="s">
        <v>129</v>
      </c>
      <c r="G34" s="2">
        <v>45769</v>
      </c>
    </row>
    <row r="35" spans="1:7" x14ac:dyDescent="0.35">
      <c r="A35">
        <v>1099</v>
      </c>
      <c r="B35" t="s">
        <v>685</v>
      </c>
      <c r="C35" t="s">
        <v>475</v>
      </c>
      <c r="D35">
        <v>2</v>
      </c>
      <c r="E35" t="s">
        <v>129</v>
      </c>
      <c r="G35" s="2">
        <v>45770</v>
      </c>
    </row>
    <row r="36" spans="1:7" x14ac:dyDescent="0.35">
      <c r="A36">
        <v>1099</v>
      </c>
      <c r="B36" t="s">
        <v>685</v>
      </c>
      <c r="C36" t="s">
        <v>470</v>
      </c>
      <c r="D36">
        <v>2</v>
      </c>
      <c r="E36" t="s">
        <v>129</v>
      </c>
      <c r="G36" s="2">
        <v>45770</v>
      </c>
    </row>
    <row r="37" spans="1:7" x14ac:dyDescent="0.35">
      <c r="A37">
        <v>1099</v>
      </c>
      <c r="B37" t="s">
        <v>685</v>
      </c>
      <c r="C37" t="s">
        <v>474</v>
      </c>
      <c r="D37">
        <v>2</v>
      </c>
      <c r="E37" t="s">
        <v>129</v>
      </c>
      <c r="G37" s="2">
        <v>45770</v>
      </c>
    </row>
    <row r="38" spans="1:7" x14ac:dyDescent="0.35">
      <c r="A38">
        <v>1099</v>
      </c>
      <c r="B38" t="s">
        <v>685</v>
      </c>
      <c r="C38" t="s">
        <v>477</v>
      </c>
      <c r="D38">
        <v>3</v>
      </c>
      <c r="E38" t="s">
        <v>129</v>
      </c>
      <c r="G38" s="2">
        <v>45771</v>
      </c>
    </row>
    <row r="39" spans="1:7" x14ac:dyDescent="0.35">
      <c r="A39">
        <v>1099</v>
      </c>
      <c r="B39" t="s">
        <v>685</v>
      </c>
      <c r="C39" t="s">
        <v>477</v>
      </c>
      <c r="D39">
        <v>3</v>
      </c>
      <c r="E39" t="s">
        <v>129</v>
      </c>
      <c r="G39" s="2">
        <v>45771</v>
      </c>
    </row>
    <row r="40" spans="1:7" x14ac:dyDescent="0.35">
      <c r="A40">
        <v>1099</v>
      </c>
      <c r="B40" t="s">
        <v>685</v>
      </c>
      <c r="C40" t="s">
        <v>470</v>
      </c>
      <c r="D40">
        <v>2</v>
      </c>
      <c r="E40" t="s">
        <v>129</v>
      </c>
      <c r="G40" s="2">
        <v>45771</v>
      </c>
    </row>
    <row r="41" spans="1:7" x14ac:dyDescent="0.35">
      <c r="A41">
        <v>1099</v>
      </c>
      <c r="B41" t="s">
        <v>685</v>
      </c>
      <c r="C41" t="s">
        <v>470</v>
      </c>
      <c r="D41">
        <v>2</v>
      </c>
      <c r="E41" t="s">
        <v>129</v>
      </c>
      <c r="G41" s="2">
        <v>45772</v>
      </c>
    </row>
    <row r="42" spans="1:7" x14ac:dyDescent="0.35">
      <c r="A42">
        <v>1099</v>
      </c>
      <c r="B42" t="s">
        <v>685</v>
      </c>
      <c r="C42" t="s">
        <v>470</v>
      </c>
      <c r="D42">
        <v>2</v>
      </c>
      <c r="E42" t="s">
        <v>129</v>
      </c>
      <c r="G42" s="2">
        <v>45772</v>
      </c>
    </row>
    <row r="43" spans="1:7" x14ac:dyDescent="0.35">
      <c r="A43">
        <v>1099</v>
      </c>
      <c r="B43" t="s">
        <v>685</v>
      </c>
      <c r="C43" t="s">
        <v>470</v>
      </c>
      <c r="D43">
        <v>3</v>
      </c>
      <c r="E43" t="s">
        <v>129</v>
      </c>
      <c r="G43" s="2">
        <v>45772</v>
      </c>
    </row>
    <row r="44" spans="1:7" x14ac:dyDescent="0.35">
      <c r="A44">
        <v>1099</v>
      </c>
      <c r="B44" t="s">
        <v>685</v>
      </c>
      <c r="C44" t="s">
        <v>470</v>
      </c>
      <c r="D44">
        <v>2</v>
      </c>
      <c r="E44" t="s">
        <v>129</v>
      </c>
      <c r="G44" s="2">
        <v>45772</v>
      </c>
    </row>
    <row r="45" spans="1:7" x14ac:dyDescent="0.35">
      <c r="A45">
        <v>1099</v>
      </c>
      <c r="B45" t="s">
        <v>685</v>
      </c>
      <c r="C45" t="s">
        <v>470</v>
      </c>
      <c r="D45">
        <v>3</v>
      </c>
      <c r="E45" t="s">
        <v>129</v>
      </c>
      <c r="G45" s="2">
        <v>45772</v>
      </c>
    </row>
    <row r="46" spans="1:7" x14ac:dyDescent="0.35">
      <c r="A46">
        <v>1099</v>
      </c>
      <c r="B46" t="s">
        <v>685</v>
      </c>
      <c r="C46" t="s">
        <v>470</v>
      </c>
      <c r="D46">
        <v>3</v>
      </c>
      <c r="E46" t="s">
        <v>129</v>
      </c>
      <c r="G46" s="2">
        <v>45772</v>
      </c>
    </row>
    <row r="47" spans="1:7" x14ac:dyDescent="0.35">
      <c r="A47">
        <v>1099</v>
      </c>
      <c r="B47" t="s">
        <v>685</v>
      </c>
      <c r="C47" t="s">
        <v>471</v>
      </c>
      <c r="D47">
        <v>3</v>
      </c>
      <c r="E47" t="s">
        <v>129</v>
      </c>
      <c r="G47" s="2">
        <v>45775</v>
      </c>
    </row>
    <row r="48" spans="1:7" x14ac:dyDescent="0.35">
      <c r="A48">
        <v>1099</v>
      </c>
      <c r="B48" t="s">
        <v>685</v>
      </c>
      <c r="C48" t="s">
        <v>470</v>
      </c>
      <c r="D48">
        <v>3</v>
      </c>
      <c r="E48" t="s">
        <v>129</v>
      </c>
      <c r="G48" s="2">
        <v>45775</v>
      </c>
    </row>
    <row r="49" spans="1:7" x14ac:dyDescent="0.35">
      <c r="A49">
        <v>1099</v>
      </c>
      <c r="B49" t="s">
        <v>685</v>
      </c>
      <c r="C49" t="s">
        <v>470</v>
      </c>
      <c r="D49">
        <v>2</v>
      </c>
      <c r="E49" t="s">
        <v>129</v>
      </c>
      <c r="G49" s="2">
        <v>45775</v>
      </c>
    </row>
    <row r="50" spans="1:7" x14ac:dyDescent="0.35">
      <c r="A50">
        <v>1099</v>
      </c>
      <c r="B50" t="s">
        <v>685</v>
      </c>
      <c r="C50" t="s">
        <v>470</v>
      </c>
      <c r="D50">
        <v>2</v>
      </c>
      <c r="E50" t="s">
        <v>129</v>
      </c>
      <c r="G50" s="2">
        <v>45776</v>
      </c>
    </row>
    <row r="51" spans="1:7" x14ac:dyDescent="0.35">
      <c r="A51">
        <v>1099</v>
      </c>
      <c r="B51" t="s">
        <v>685</v>
      </c>
      <c r="C51" t="s">
        <v>471</v>
      </c>
      <c r="D51">
        <v>3</v>
      </c>
      <c r="E51" t="s">
        <v>129</v>
      </c>
      <c r="G51" s="2">
        <v>45776</v>
      </c>
    </row>
    <row r="52" spans="1:7" x14ac:dyDescent="0.35">
      <c r="A52">
        <v>1099</v>
      </c>
      <c r="B52" t="s">
        <v>685</v>
      </c>
      <c r="C52" t="s">
        <v>471</v>
      </c>
      <c r="D52">
        <v>3</v>
      </c>
      <c r="E52" t="s">
        <v>129</v>
      </c>
      <c r="G52" s="2">
        <v>45777</v>
      </c>
    </row>
    <row r="53" spans="1:7" x14ac:dyDescent="0.35">
      <c r="A53">
        <v>1099</v>
      </c>
      <c r="B53" t="s">
        <v>685</v>
      </c>
      <c r="C53" t="s">
        <v>473</v>
      </c>
      <c r="D53">
        <v>1</v>
      </c>
      <c r="E53" t="s">
        <v>129</v>
      </c>
      <c r="G53" s="2">
        <v>45777</v>
      </c>
    </row>
    <row r="54" spans="1:7" x14ac:dyDescent="0.35">
      <c r="A54">
        <v>1099</v>
      </c>
      <c r="B54" t="s">
        <v>685</v>
      </c>
      <c r="C54" t="s">
        <v>470</v>
      </c>
      <c r="D54">
        <v>2</v>
      </c>
      <c r="E54" t="s">
        <v>129</v>
      </c>
      <c r="G54" s="2">
        <v>45779</v>
      </c>
    </row>
    <row r="55" spans="1:7" x14ac:dyDescent="0.35">
      <c r="A55">
        <v>1099</v>
      </c>
      <c r="B55" t="s">
        <v>685</v>
      </c>
      <c r="C55" t="s">
        <v>478</v>
      </c>
      <c r="D55">
        <v>2</v>
      </c>
      <c r="E55" t="s">
        <v>129</v>
      </c>
      <c r="G55" s="2">
        <v>45782</v>
      </c>
    </row>
    <row r="56" spans="1:7" x14ac:dyDescent="0.35">
      <c r="A56">
        <v>1099</v>
      </c>
      <c r="B56" t="s">
        <v>686</v>
      </c>
      <c r="C56" t="s">
        <v>470</v>
      </c>
      <c r="D56">
        <v>3</v>
      </c>
      <c r="E56" t="s">
        <v>129</v>
      </c>
      <c r="G56" s="2">
        <v>45782</v>
      </c>
    </row>
    <row r="57" spans="1:7" x14ac:dyDescent="0.35">
      <c r="A57">
        <v>1099</v>
      </c>
      <c r="B57" t="s">
        <v>686</v>
      </c>
      <c r="C57" t="s">
        <v>471</v>
      </c>
      <c r="D57">
        <v>3</v>
      </c>
      <c r="E57" t="s">
        <v>129</v>
      </c>
      <c r="G57" s="2">
        <v>45783</v>
      </c>
    </row>
    <row r="58" spans="1:7" x14ac:dyDescent="0.35">
      <c r="A58">
        <v>1099</v>
      </c>
      <c r="B58" t="s">
        <v>686</v>
      </c>
      <c r="C58" t="s">
        <v>479</v>
      </c>
      <c r="D58">
        <v>2</v>
      </c>
      <c r="E58" t="s">
        <v>129</v>
      </c>
      <c r="G58" s="2">
        <v>45783</v>
      </c>
    </row>
    <row r="59" spans="1:7" x14ac:dyDescent="0.35">
      <c r="A59">
        <v>1099</v>
      </c>
      <c r="B59" t="s">
        <v>686</v>
      </c>
      <c r="C59" t="s">
        <v>479</v>
      </c>
      <c r="D59">
        <v>2</v>
      </c>
      <c r="E59" t="s">
        <v>129</v>
      </c>
      <c r="G59" s="2">
        <v>45783</v>
      </c>
    </row>
    <row r="60" spans="1:7" x14ac:dyDescent="0.35">
      <c r="A60">
        <v>1099</v>
      </c>
      <c r="B60" t="s">
        <v>686</v>
      </c>
      <c r="C60" t="s">
        <v>412</v>
      </c>
      <c r="D60">
        <v>1</v>
      </c>
      <c r="E60" t="s">
        <v>129</v>
      </c>
      <c r="G60" s="2">
        <v>45783</v>
      </c>
    </row>
    <row r="61" spans="1:7" x14ac:dyDescent="0.35">
      <c r="A61">
        <v>1099</v>
      </c>
      <c r="B61" t="s">
        <v>685</v>
      </c>
      <c r="C61" t="s">
        <v>412</v>
      </c>
      <c r="D61">
        <v>2</v>
      </c>
      <c r="E61" t="s">
        <v>129</v>
      </c>
      <c r="G61" s="2">
        <v>45784</v>
      </c>
    </row>
    <row r="62" spans="1:7" x14ac:dyDescent="0.35">
      <c r="A62">
        <v>1099</v>
      </c>
      <c r="B62" t="s">
        <v>686</v>
      </c>
      <c r="C62" t="s">
        <v>470</v>
      </c>
      <c r="D62">
        <v>3</v>
      </c>
      <c r="E62" t="s">
        <v>129</v>
      </c>
      <c r="G62" s="2">
        <v>45784</v>
      </c>
    </row>
    <row r="63" spans="1:7" x14ac:dyDescent="0.35">
      <c r="A63">
        <v>1099</v>
      </c>
      <c r="B63" t="s">
        <v>686</v>
      </c>
      <c r="C63" t="s">
        <v>470</v>
      </c>
      <c r="D63">
        <v>3</v>
      </c>
      <c r="E63" t="s">
        <v>129</v>
      </c>
      <c r="G63" s="2">
        <v>45785</v>
      </c>
    </row>
    <row r="64" spans="1:7" x14ac:dyDescent="0.35">
      <c r="A64">
        <v>1099</v>
      </c>
      <c r="B64" t="s">
        <v>686</v>
      </c>
      <c r="C64" t="s">
        <v>470</v>
      </c>
      <c r="D64">
        <v>3</v>
      </c>
      <c r="E64" t="s">
        <v>129</v>
      </c>
      <c r="G64" s="2">
        <v>45785</v>
      </c>
    </row>
    <row r="65" spans="1:7" x14ac:dyDescent="0.35">
      <c r="A65">
        <v>1099</v>
      </c>
      <c r="B65" t="s">
        <v>685</v>
      </c>
      <c r="C65" t="s">
        <v>470</v>
      </c>
      <c r="D65">
        <v>3</v>
      </c>
      <c r="E65" t="s">
        <v>129</v>
      </c>
      <c r="G65" s="2">
        <v>45789</v>
      </c>
    </row>
    <row r="66" spans="1:7" x14ac:dyDescent="0.35">
      <c r="A66">
        <v>1099</v>
      </c>
      <c r="B66" t="s">
        <v>685</v>
      </c>
      <c r="C66" t="s">
        <v>480</v>
      </c>
      <c r="D66">
        <v>3</v>
      </c>
      <c r="E66" t="s">
        <v>129</v>
      </c>
      <c r="G66" s="2">
        <v>45790</v>
      </c>
    </row>
    <row r="67" spans="1:7" x14ac:dyDescent="0.35">
      <c r="A67">
        <v>1099</v>
      </c>
      <c r="B67" t="s">
        <v>686</v>
      </c>
      <c r="C67" t="s">
        <v>470</v>
      </c>
      <c r="D67">
        <v>2</v>
      </c>
      <c r="E67" t="s">
        <v>129</v>
      </c>
      <c r="G67" s="2">
        <v>45790</v>
      </c>
    </row>
    <row r="68" spans="1:7" x14ac:dyDescent="0.35">
      <c r="A68">
        <v>1099</v>
      </c>
      <c r="B68" t="s">
        <v>686</v>
      </c>
      <c r="C68" t="s">
        <v>470</v>
      </c>
      <c r="D68">
        <v>3</v>
      </c>
      <c r="E68" t="s">
        <v>129</v>
      </c>
      <c r="G68" s="2">
        <v>45790</v>
      </c>
    </row>
    <row r="69" spans="1:7" x14ac:dyDescent="0.35">
      <c r="A69">
        <v>1099</v>
      </c>
      <c r="B69" t="s">
        <v>686</v>
      </c>
      <c r="C69" t="s">
        <v>478</v>
      </c>
      <c r="D69">
        <v>3</v>
      </c>
      <c r="E69" t="s">
        <v>129</v>
      </c>
      <c r="G69" s="2">
        <v>45790</v>
      </c>
    </row>
    <row r="70" spans="1:7" x14ac:dyDescent="0.35">
      <c r="A70">
        <v>1099</v>
      </c>
      <c r="B70" t="s">
        <v>686</v>
      </c>
      <c r="C70" t="s">
        <v>475</v>
      </c>
      <c r="D70">
        <v>2</v>
      </c>
      <c r="E70" t="s">
        <v>129</v>
      </c>
      <c r="G70" s="2">
        <v>45790</v>
      </c>
    </row>
    <row r="71" spans="1:7" x14ac:dyDescent="0.35">
      <c r="A71">
        <v>1099</v>
      </c>
      <c r="B71" t="s">
        <v>686</v>
      </c>
      <c r="C71" t="s">
        <v>478</v>
      </c>
      <c r="D71">
        <v>3</v>
      </c>
      <c r="E71" t="s">
        <v>129</v>
      </c>
      <c r="G71" s="2">
        <v>45791</v>
      </c>
    </row>
    <row r="72" spans="1:7" x14ac:dyDescent="0.35">
      <c r="A72">
        <v>1099</v>
      </c>
      <c r="B72" t="s">
        <v>686</v>
      </c>
      <c r="C72" t="s">
        <v>470</v>
      </c>
      <c r="D72">
        <v>1</v>
      </c>
      <c r="E72" t="s">
        <v>129</v>
      </c>
      <c r="G72" s="2">
        <v>45791</v>
      </c>
    </row>
    <row r="73" spans="1:7" x14ac:dyDescent="0.35">
      <c r="A73">
        <v>1099</v>
      </c>
      <c r="B73" t="s">
        <v>686</v>
      </c>
      <c r="C73" t="s">
        <v>470</v>
      </c>
      <c r="D73">
        <v>3</v>
      </c>
      <c r="E73" t="s">
        <v>129</v>
      </c>
      <c r="G73" s="2">
        <v>45792</v>
      </c>
    </row>
    <row r="74" spans="1:7" x14ac:dyDescent="0.35">
      <c r="A74">
        <v>1099</v>
      </c>
      <c r="B74" t="s">
        <v>685</v>
      </c>
      <c r="C74" t="s">
        <v>470</v>
      </c>
      <c r="D74">
        <v>2</v>
      </c>
      <c r="E74" t="s">
        <v>129</v>
      </c>
      <c r="G74" s="2">
        <v>45792</v>
      </c>
    </row>
    <row r="75" spans="1:7" x14ac:dyDescent="0.35">
      <c r="A75">
        <v>1099</v>
      </c>
      <c r="B75" t="s">
        <v>686</v>
      </c>
      <c r="C75" t="s">
        <v>470</v>
      </c>
      <c r="D75">
        <v>3</v>
      </c>
      <c r="E75" t="s">
        <v>129</v>
      </c>
      <c r="G75" s="2">
        <v>45792</v>
      </c>
    </row>
    <row r="76" spans="1:7" x14ac:dyDescent="0.35">
      <c r="A76">
        <v>1099</v>
      </c>
      <c r="B76" t="s">
        <v>686</v>
      </c>
      <c r="C76" t="s">
        <v>470</v>
      </c>
      <c r="D76">
        <v>2</v>
      </c>
      <c r="E76" t="s">
        <v>129</v>
      </c>
      <c r="G76" s="2">
        <v>45793</v>
      </c>
    </row>
    <row r="77" spans="1:7" x14ac:dyDescent="0.35">
      <c r="A77">
        <v>1099</v>
      </c>
      <c r="B77" t="s">
        <v>686</v>
      </c>
      <c r="C77" t="s">
        <v>470</v>
      </c>
      <c r="D77">
        <v>3</v>
      </c>
      <c r="E77" t="s">
        <v>129</v>
      </c>
      <c r="G77" s="2">
        <v>45796</v>
      </c>
    </row>
    <row r="78" spans="1:7" x14ac:dyDescent="0.35">
      <c r="A78">
        <v>1099</v>
      </c>
      <c r="B78" t="s">
        <v>686</v>
      </c>
      <c r="C78" t="s">
        <v>470</v>
      </c>
      <c r="D78">
        <v>3</v>
      </c>
      <c r="E78" t="s">
        <v>129</v>
      </c>
      <c r="G78" s="2">
        <v>45797</v>
      </c>
    </row>
    <row r="79" spans="1:7" x14ac:dyDescent="0.35">
      <c r="A79">
        <v>1099</v>
      </c>
      <c r="B79" t="s">
        <v>686</v>
      </c>
      <c r="C79" t="s">
        <v>470</v>
      </c>
      <c r="D79">
        <v>2</v>
      </c>
      <c r="E79" t="s">
        <v>129</v>
      </c>
      <c r="G79" s="2">
        <v>45797</v>
      </c>
    </row>
    <row r="80" spans="1:7" x14ac:dyDescent="0.35">
      <c r="A80">
        <v>1099</v>
      </c>
      <c r="B80" t="s">
        <v>686</v>
      </c>
      <c r="C80" t="s">
        <v>470</v>
      </c>
      <c r="D80">
        <v>2</v>
      </c>
      <c r="E80" t="s">
        <v>129</v>
      </c>
      <c r="G80" s="2">
        <v>45797</v>
      </c>
    </row>
    <row r="81" spans="1:7" x14ac:dyDescent="0.35">
      <c r="A81">
        <v>1099</v>
      </c>
      <c r="B81" t="s">
        <v>686</v>
      </c>
      <c r="C81" t="s">
        <v>470</v>
      </c>
      <c r="D81">
        <v>2</v>
      </c>
      <c r="E81" t="s">
        <v>129</v>
      </c>
      <c r="G81" s="2">
        <v>45797</v>
      </c>
    </row>
    <row r="82" spans="1:7" x14ac:dyDescent="0.35">
      <c r="A82">
        <v>1099</v>
      </c>
      <c r="B82" t="s">
        <v>686</v>
      </c>
      <c r="C82" t="s">
        <v>480</v>
      </c>
      <c r="D82">
        <v>1</v>
      </c>
      <c r="E82" t="s">
        <v>129</v>
      </c>
      <c r="G82" s="2">
        <v>45799</v>
      </c>
    </row>
    <row r="83" spans="1:7" x14ac:dyDescent="0.35">
      <c r="A83">
        <v>1099</v>
      </c>
      <c r="B83" t="s">
        <v>685</v>
      </c>
      <c r="C83" t="s">
        <v>481</v>
      </c>
      <c r="D83">
        <v>3</v>
      </c>
      <c r="E83" t="s">
        <v>129</v>
      </c>
      <c r="G83" s="2">
        <v>45798</v>
      </c>
    </row>
    <row r="84" spans="1:7" x14ac:dyDescent="0.35">
      <c r="A84">
        <v>1099</v>
      </c>
      <c r="B84" t="s">
        <v>686</v>
      </c>
      <c r="C84" t="s">
        <v>470</v>
      </c>
      <c r="D84">
        <v>3</v>
      </c>
      <c r="E84" t="s">
        <v>129</v>
      </c>
      <c r="G84" s="2">
        <v>45798</v>
      </c>
    </row>
    <row r="85" spans="1:7" x14ac:dyDescent="0.35">
      <c r="A85">
        <v>1099</v>
      </c>
      <c r="B85" t="s">
        <v>686</v>
      </c>
      <c r="C85" t="s">
        <v>470</v>
      </c>
      <c r="D85">
        <v>1</v>
      </c>
      <c r="E85" t="s">
        <v>129</v>
      </c>
      <c r="G85" s="2">
        <v>45798</v>
      </c>
    </row>
    <row r="86" spans="1:7" x14ac:dyDescent="0.35">
      <c r="A86">
        <v>1099</v>
      </c>
      <c r="B86" t="s">
        <v>686</v>
      </c>
      <c r="C86" t="s">
        <v>470</v>
      </c>
      <c r="D86">
        <v>2</v>
      </c>
      <c r="E86" t="s">
        <v>129</v>
      </c>
      <c r="G86" s="2">
        <v>45799</v>
      </c>
    </row>
    <row r="87" spans="1:7" x14ac:dyDescent="0.35">
      <c r="A87">
        <v>1099</v>
      </c>
      <c r="B87" t="s">
        <v>686</v>
      </c>
      <c r="C87" t="s">
        <v>470</v>
      </c>
      <c r="D87">
        <v>3</v>
      </c>
      <c r="E87" t="s">
        <v>129</v>
      </c>
      <c r="G87" s="2">
        <v>45799</v>
      </c>
    </row>
    <row r="88" spans="1:7" x14ac:dyDescent="0.35">
      <c r="A88">
        <v>1099</v>
      </c>
      <c r="B88" t="s">
        <v>686</v>
      </c>
      <c r="C88" t="s">
        <v>478</v>
      </c>
      <c r="D88">
        <v>3</v>
      </c>
      <c r="E88" t="s">
        <v>129</v>
      </c>
      <c r="G88" s="2">
        <v>45799</v>
      </c>
    </row>
    <row r="89" spans="1:7" x14ac:dyDescent="0.35">
      <c r="A89">
        <v>1099</v>
      </c>
      <c r="B89" t="s">
        <v>685</v>
      </c>
      <c r="C89" t="s">
        <v>470</v>
      </c>
      <c r="D89">
        <v>2</v>
      </c>
      <c r="E89" t="s">
        <v>129</v>
      </c>
      <c r="G89" s="2">
        <v>45800</v>
      </c>
    </row>
    <row r="90" spans="1:7" x14ac:dyDescent="0.35">
      <c r="A90">
        <v>1099</v>
      </c>
      <c r="B90" t="s">
        <v>686</v>
      </c>
      <c r="C90" t="s">
        <v>478</v>
      </c>
      <c r="D90">
        <v>3</v>
      </c>
      <c r="E90" t="s">
        <v>129</v>
      </c>
      <c r="G90" s="2">
        <v>45800</v>
      </c>
    </row>
    <row r="91" spans="1:7" x14ac:dyDescent="0.35">
      <c r="A91">
        <v>1099</v>
      </c>
      <c r="B91" t="s">
        <v>686</v>
      </c>
      <c r="C91" t="s">
        <v>470</v>
      </c>
      <c r="D91">
        <v>2</v>
      </c>
      <c r="E91" t="s">
        <v>129</v>
      </c>
      <c r="G91" s="2">
        <v>45803</v>
      </c>
    </row>
    <row r="92" spans="1:7" x14ac:dyDescent="0.35">
      <c r="A92">
        <v>1099</v>
      </c>
      <c r="B92" t="s">
        <v>686</v>
      </c>
      <c r="C92" t="s">
        <v>470</v>
      </c>
      <c r="D92">
        <v>2</v>
      </c>
      <c r="E92" t="s">
        <v>129</v>
      </c>
      <c r="G92" s="2">
        <v>45804</v>
      </c>
    </row>
    <row r="93" spans="1:7" x14ac:dyDescent="0.35">
      <c r="A93">
        <v>1099</v>
      </c>
      <c r="B93" t="s">
        <v>686</v>
      </c>
      <c r="C93" t="s">
        <v>475</v>
      </c>
      <c r="D93">
        <v>2</v>
      </c>
      <c r="E93" t="s">
        <v>129</v>
      </c>
      <c r="G93" s="2">
        <v>45804</v>
      </c>
    </row>
    <row r="94" spans="1:7" x14ac:dyDescent="0.35">
      <c r="A94">
        <v>1099</v>
      </c>
      <c r="B94" t="s">
        <v>686</v>
      </c>
      <c r="C94" t="s">
        <v>480</v>
      </c>
      <c r="D94">
        <v>3</v>
      </c>
      <c r="E94" t="s">
        <v>129</v>
      </c>
      <c r="G94" s="2">
        <v>45805</v>
      </c>
    </row>
    <row r="95" spans="1:7" x14ac:dyDescent="0.35">
      <c r="A95">
        <v>1099</v>
      </c>
      <c r="B95" t="s">
        <v>686</v>
      </c>
      <c r="C95" t="s">
        <v>470</v>
      </c>
      <c r="D95">
        <v>2</v>
      </c>
      <c r="E95" t="s">
        <v>129</v>
      </c>
      <c r="G95" s="2">
        <v>45804</v>
      </c>
    </row>
    <row r="96" spans="1:7" x14ac:dyDescent="0.35">
      <c r="A96">
        <v>1099</v>
      </c>
      <c r="B96" t="s">
        <v>686</v>
      </c>
      <c r="C96" t="s">
        <v>470</v>
      </c>
      <c r="D96">
        <v>3</v>
      </c>
      <c r="E96" t="s">
        <v>129</v>
      </c>
      <c r="G96" s="2">
        <v>45805</v>
      </c>
    </row>
    <row r="97" spans="1:7" x14ac:dyDescent="0.35">
      <c r="A97">
        <v>1099</v>
      </c>
      <c r="B97" t="s">
        <v>686</v>
      </c>
      <c r="C97" t="s">
        <v>470</v>
      </c>
      <c r="D97">
        <v>3</v>
      </c>
      <c r="E97" t="s">
        <v>129</v>
      </c>
      <c r="G97" s="2">
        <v>45806</v>
      </c>
    </row>
    <row r="98" spans="1:7" x14ac:dyDescent="0.35">
      <c r="A98">
        <v>1099</v>
      </c>
      <c r="B98" t="s">
        <v>686</v>
      </c>
      <c r="C98" t="s">
        <v>470</v>
      </c>
      <c r="D98">
        <v>3</v>
      </c>
      <c r="E98" t="s">
        <v>129</v>
      </c>
      <c r="G98" s="2">
        <v>45806</v>
      </c>
    </row>
    <row r="99" spans="1:7" x14ac:dyDescent="0.35">
      <c r="A99">
        <v>1099</v>
      </c>
      <c r="B99" t="s">
        <v>686</v>
      </c>
      <c r="C99" t="s">
        <v>497</v>
      </c>
      <c r="D99">
        <v>2</v>
      </c>
      <c r="E99" t="s">
        <v>140</v>
      </c>
      <c r="G99" s="2">
        <v>45810</v>
      </c>
    </row>
    <row r="100" spans="1:7" x14ac:dyDescent="0.35">
      <c r="A100">
        <v>1099</v>
      </c>
      <c r="B100" t="s">
        <v>686</v>
      </c>
      <c r="C100" t="s">
        <v>470</v>
      </c>
      <c r="D100">
        <v>3</v>
      </c>
      <c r="E100" t="s">
        <v>129</v>
      </c>
      <c r="G100" s="2">
        <v>45811</v>
      </c>
    </row>
    <row r="101" spans="1:7" x14ac:dyDescent="0.35">
      <c r="A101">
        <v>1099</v>
      </c>
      <c r="B101" t="s">
        <v>686</v>
      </c>
      <c r="C101" t="s">
        <v>471</v>
      </c>
      <c r="D101">
        <v>3</v>
      </c>
      <c r="E101" t="s">
        <v>129</v>
      </c>
      <c r="G101" s="2">
        <v>45811</v>
      </c>
    </row>
    <row r="102" spans="1:7" x14ac:dyDescent="0.35">
      <c r="A102">
        <v>1099</v>
      </c>
      <c r="B102" t="s">
        <v>687</v>
      </c>
      <c r="C102" t="s">
        <v>471</v>
      </c>
      <c r="D102">
        <v>3</v>
      </c>
      <c r="E102" t="s">
        <v>129</v>
      </c>
      <c r="G102" s="2">
        <v>45813</v>
      </c>
    </row>
    <row r="103" spans="1:7" x14ac:dyDescent="0.35">
      <c r="A103">
        <v>1099</v>
      </c>
      <c r="B103" t="s">
        <v>687</v>
      </c>
      <c r="C103" t="s">
        <v>470</v>
      </c>
      <c r="D103">
        <v>2</v>
      </c>
      <c r="E103" t="s">
        <v>129</v>
      </c>
      <c r="G103" s="2">
        <v>45813</v>
      </c>
    </row>
    <row r="104" spans="1:7" x14ac:dyDescent="0.35">
      <c r="A104">
        <v>1099</v>
      </c>
      <c r="B104" t="s">
        <v>687</v>
      </c>
      <c r="C104" t="s">
        <v>470</v>
      </c>
      <c r="D104">
        <v>3</v>
      </c>
      <c r="E104" t="s">
        <v>129</v>
      </c>
      <c r="G104" s="2">
        <v>45813</v>
      </c>
    </row>
    <row r="105" spans="1:7" x14ac:dyDescent="0.35">
      <c r="A105">
        <v>1099</v>
      </c>
      <c r="B105" t="s">
        <v>687</v>
      </c>
      <c r="C105" t="s">
        <v>470</v>
      </c>
      <c r="D105">
        <v>1</v>
      </c>
      <c r="E105" t="s">
        <v>129</v>
      </c>
      <c r="G105" s="2">
        <v>45819</v>
      </c>
    </row>
    <row r="106" spans="1:7" x14ac:dyDescent="0.35">
      <c r="A106">
        <v>1099</v>
      </c>
      <c r="B106" t="s">
        <v>687</v>
      </c>
      <c r="C106" t="s">
        <v>499</v>
      </c>
      <c r="D106">
        <v>2</v>
      </c>
      <c r="E106" t="s">
        <v>129</v>
      </c>
      <c r="G106" s="2">
        <v>45820</v>
      </c>
    </row>
    <row r="107" spans="1:7" x14ac:dyDescent="0.35">
      <c r="A107">
        <v>1099</v>
      </c>
      <c r="B107" t="s">
        <v>687</v>
      </c>
      <c r="C107" t="s">
        <v>470</v>
      </c>
      <c r="D107">
        <v>3</v>
      </c>
      <c r="E107" t="s">
        <v>129</v>
      </c>
      <c r="G107" s="2">
        <v>45820</v>
      </c>
    </row>
    <row r="108" spans="1:7" x14ac:dyDescent="0.35">
      <c r="A108">
        <v>1099</v>
      </c>
      <c r="B108" t="s">
        <v>687</v>
      </c>
      <c r="C108" t="s">
        <v>470</v>
      </c>
      <c r="D108">
        <v>3</v>
      </c>
      <c r="E108" t="s">
        <v>129</v>
      </c>
      <c r="G108" s="2">
        <v>45821</v>
      </c>
    </row>
    <row r="109" spans="1:7" x14ac:dyDescent="0.35">
      <c r="A109">
        <v>1099</v>
      </c>
      <c r="B109" t="s">
        <v>687</v>
      </c>
      <c r="C109" t="s">
        <v>470</v>
      </c>
      <c r="D109">
        <v>3</v>
      </c>
      <c r="E109" t="s">
        <v>129</v>
      </c>
      <c r="G109" s="2">
        <v>45824</v>
      </c>
    </row>
    <row r="110" spans="1:7" x14ac:dyDescent="0.35">
      <c r="A110">
        <v>1099</v>
      </c>
      <c r="B110" t="s">
        <v>687</v>
      </c>
      <c r="C110" t="s">
        <v>470</v>
      </c>
      <c r="D110">
        <v>3</v>
      </c>
      <c r="E110" t="s">
        <v>129</v>
      </c>
      <c r="G110" s="2">
        <v>45825</v>
      </c>
    </row>
    <row r="111" spans="1:7" x14ac:dyDescent="0.35">
      <c r="A111">
        <v>1099</v>
      </c>
      <c r="B111" t="s">
        <v>687</v>
      </c>
      <c r="C111" t="s">
        <v>470</v>
      </c>
      <c r="D111">
        <v>2</v>
      </c>
      <c r="E111" t="s">
        <v>129</v>
      </c>
      <c r="G111" s="2">
        <v>45827</v>
      </c>
    </row>
    <row r="112" spans="1:7" x14ac:dyDescent="0.35">
      <c r="A112">
        <v>1099</v>
      </c>
      <c r="B112" t="s">
        <v>687</v>
      </c>
      <c r="C112" t="s">
        <v>470</v>
      </c>
      <c r="D112">
        <v>2</v>
      </c>
      <c r="E112" t="s">
        <v>129</v>
      </c>
      <c r="G112" s="2">
        <v>45827</v>
      </c>
    </row>
    <row r="113" spans="1:7" x14ac:dyDescent="0.35">
      <c r="A113">
        <v>1099</v>
      </c>
      <c r="B113" t="s">
        <v>687</v>
      </c>
      <c r="C113" t="s">
        <v>481</v>
      </c>
      <c r="D113">
        <v>3</v>
      </c>
      <c r="E113" t="s">
        <v>129</v>
      </c>
      <c r="G113" s="2">
        <v>45827</v>
      </c>
    </row>
    <row r="114" spans="1:7" x14ac:dyDescent="0.35">
      <c r="A114">
        <v>1099</v>
      </c>
      <c r="B114" t="s">
        <v>687</v>
      </c>
      <c r="C114" t="s">
        <v>470</v>
      </c>
      <c r="D114">
        <v>3</v>
      </c>
      <c r="E114" t="s">
        <v>129</v>
      </c>
      <c r="G114" s="2">
        <v>45831</v>
      </c>
    </row>
    <row r="115" spans="1:7" x14ac:dyDescent="0.35">
      <c r="A115">
        <v>1099</v>
      </c>
      <c r="B115" t="s">
        <v>687</v>
      </c>
      <c r="C115" t="s">
        <v>470</v>
      </c>
      <c r="D115">
        <v>3</v>
      </c>
      <c r="E115" t="s">
        <v>129</v>
      </c>
      <c r="G115" s="2">
        <v>45833</v>
      </c>
    </row>
    <row r="116" spans="1:7" x14ac:dyDescent="0.35">
      <c r="A116">
        <v>1099</v>
      </c>
      <c r="B116" t="s">
        <v>688</v>
      </c>
      <c r="C116" t="s">
        <v>475</v>
      </c>
      <c r="D116">
        <v>2</v>
      </c>
      <c r="E116" t="s">
        <v>129</v>
      </c>
      <c r="G116" s="2">
        <v>45835</v>
      </c>
    </row>
    <row r="117" spans="1:7" x14ac:dyDescent="0.35">
      <c r="A117">
        <v>1099</v>
      </c>
      <c r="B117" t="s">
        <v>688</v>
      </c>
      <c r="C117" t="s">
        <v>475</v>
      </c>
      <c r="D117">
        <v>2</v>
      </c>
      <c r="E117" t="s">
        <v>129</v>
      </c>
      <c r="G117" s="2">
        <v>45835</v>
      </c>
    </row>
    <row r="118" spans="1:7" x14ac:dyDescent="0.35">
      <c r="A118">
        <v>1099</v>
      </c>
      <c r="B118" t="s">
        <v>688</v>
      </c>
      <c r="C118" t="s">
        <v>470</v>
      </c>
      <c r="D118">
        <v>2</v>
      </c>
      <c r="E118" t="s">
        <v>129</v>
      </c>
      <c r="G118" s="2">
        <v>45838</v>
      </c>
    </row>
    <row r="119" spans="1:7" x14ac:dyDescent="0.35">
      <c r="A119">
        <v>1099</v>
      </c>
      <c r="B119" t="s">
        <v>688</v>
      </c>
      <c r="C119" t="s">
        <v>470</v>
      </c>
      <c r="D119">
        <v>2</v>
      </c>
      <c r="E119" t="s">
        <v>129</v>
      </c>
      <c r="G119" s="2">
        <v>45841</v>
      </c>
    </row>
    <row r="120" spans="1:7" x14ac:dyDescent="0.35">
      <c r="A120">
        <v>1099</v>
      </c>
      <c r="B120" t="s">
        <v>688</v>
      </c>
      <c r="C120" t="s">
        <v>470</v>
      </c>
      <c r="D120">
        <v>3</v>
      </c>
      <c r="E120" t="s">
        <v>129</v>
      </c>
      <c r="G120" s="2">
        <v>45842</v>
      </c>
    </row>
    <row r="121" spans="1:7" x14ac:dyDescent="0.35">
      <c r="A121">
        <v>1099</v>
      </c>
      <c r="B121" t="s">
        <v>688</v>
      </c>
      <c r="C121" t="s">
        <v>481</v>
      </c>
      <c r="D121">
        <v>3</v>
      </c>
      <c r="E121" t="s">
        <v>129</v>
      </c>
      <c r="G121" s="2">
        <v>45845</v>
      </c>
    </row>
    <row r="122" spans="1:7" x14ac:dyDescent="0.35">
      <c r="A122">
        <v>1099</v>
      </c>
      <c r="B122" t="s">
        <v>688</v>
      </c>
      <c r="C122" t="s">
        <v>523</v>
      </c>
      <c r="D122">
        <v>1</v>
      </c>
      <c r="E122" t="s">
        <v>129</v>
      </c>
      <c r="G122" s="2">
        <v>45846</v>
      </c>
    </row>
    <row r="123" spans="1:7" x14ac:dyDescent="0.35">
      <c r="A123">
        <v>1099</v>
      </c>
      <c r="B123" t="s">
        <v>688</v>
      </c>
      <c r="C123" t="s">
        <v>471</v>
      </c>
      <c r="D123">
        <v>3</v>
      </c>
      <c r="E123" t="s">
        <v>129</v>
      </c>
      <c r="G123" s="2">
        <v>45846</v>
      </c>
    </row>
    <row r="124" spans="1:7" x14ac:dyDescent="0.35">
      <c r="A124">
        <v>1099</v>
      </c>
      <c r="B124" t="s">
        <v>688</v>
      </c>
      <c r="C124" t="s">
        <v>470</v>
      </c>
      <c r="D124">
        <v>3</v>
      </c>
      <c r="E124" t="s">
        <v>129</v>
      </c>
      <c r="G124" s="2">
        <v>45846</v>
      </c>
    </row>
    <row r="125" spans="1:7" x14ac:dyDescent="0.35">
      <c r="A125">
        <v>1099</v>
      </c>
      <c r="B125" t="s">
        <v>688</v>
      </c>
      <c r="C125" t="s">
        <v>470</v>
      </c>
      <c r="D125">
        <v>3</v>
      </c>
      <c r="E125" t="s">
        <v>129</v>
      </c>
      <c r="G125" s="2">
        <v>45847</v>
      </c>
    </row>
    <row r="126" spans="1:7" x14ac:dyDescent="0.35">
      <c r="A126">
        <v>1099</v>
      </c>
      <c r="B126" t="s">
        <v>687</v>
      </c>
      <c r="C126" t="s">
        <v>527</v>
      </c>
      <c r="D126">
        <v>2</v>
      </c>
      <c r="E126" t="s">
        <v>134</v>
      </c>
      <c r="G126" s="2">
        <v>45856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056DF-EB0B-4260-9BE4-1A28726912AA}">
  <sheetPr codeName="Sheet17"/>
  <dimension ref="A1:F107"/>
  <sheetViews>
    <sheetView workbookViewId="0">
      <selection activeCell="B13" sqref="B13"/>
    </sheetView>
  </sheetViews>
  <sheetFormatPr defaultRowHeight="14.4" x14ac:dyDescent="0.35"/>
  <cols>
    <col min="1" max="1" width="48" bestFit="1" customWidth="1"/>
    <col min="2" max="2" width="12.109375" style="4" bestFit="1" customWidth="1"/>
  </cols>
  <sheetData>
    <row r="1" spans="1:2" x14ac:dyDescent="0.35">
      <c r="A1" s="5" t="s">
        <v>206</v>
      </c>
      <c r="B1" s="6" t="s">
        <v>207</v>
      </c>
    </row>
    <row r="2" spans="1:2" x14ac:dyDescent="0.35">
      <c r="A2" s="7" t="s">
        <v>161</v>
      </c>
      <c r="B2" s="9">
        <f>MATCH(A2,DSR!A:A,0)</f>
        <v>3</v>
      </c>
    </row>
    <row r="3" spans="1:2" x14ac:dyDescent="0.35">
      <c r="A3" s="7" t="s">
        <v>162</v>
      </c>
      <c r="B3" s="9">
        <f>MATCH(A3,DSR!A:A,0)</f>
        <v>5</v>
      </c>
    </row>
    <row r="4" spans="1:2" x14ac:dyDescent="0.35">
      <c r="A4" s="7" t="s">
        <v>205</v>
      </c>
      <c r="B4" s="9">
        <f>MATCH(A4,DSR!A:A,0)</f>
        <v>7</v>
      </c>
    </row>
    <row r="5" spans="1:2" x14ac:dyDescent="0.35">
      <c r="A5" s="7" t="s">
        <v>163</v>
      </c>
      <c r="B5" s="9">
        <f>MATCH(A5,DSR!A:A,0)</f>
        <v>6</v>
      </c>
    </row>
    <row r="6" spans="1:2" x14ac:dyDescent="0.35">
      <c r="A6" s="7" t="s">
        <v>164</v>
      </c>
      <c r="B6" s="9">
        <f>MATCH(A6,DSR!A:A,0)</f>
        <v>8</v>
      </c>
    </row>
    <row r="7" spans="1:2" x14ac:dyDescent="0.35">
      <c r="A7" s="7" t="s">
        <v>165</v>
      </c>
      <c r="B7" s="9">
        <f>MATCH(A7,DSR!A:A,0)</f>
        <v>10</v>
      </c>
    </row>
    <row r="8" spans="1:2" x14ac:dyDescent="0.35">
      <c r="A8" s="7" t="s">
        <v>167</v>
      </c>
      <c r="B8" s="9">
        <f>MATCH(A8,DSR!A:A,0)</f>
        <v>24</v>
      </c>
    </row>
    <row r="9" spans="1:2" x14ac:dyDescent="0.35">
      <c r="A9" s="7" t="s">
        <v>106</v>
      </c>
      <c r="B9" s="9">
        <f ca="1">MATCH(A9,DSR!A:A,0)</f>
        <v>25</v>
      </c>
    </row>
    <row r="10" spans="1:2" x14ac:dyDescent="0.35">
      <c r="A10" s="7" t="s">
        <v>168</v>
      </c>
      <c r="B10" s="9">
        <f ca="1">MATCH(A10,DSR!A:A,0)</f>
        <v>44</v>
      </c>
    </row>
    <row r="11" spans="1:2" x14ac:dyDescent="0.35">
      <c r="A11" s="7" t="s">
        <v>169</v>
      </c>
      <c r="B11" s="9">
        <f ca="1">MATCH(A11,DSR!A:A,0)</f>
        <v>46</v>
      </c>
    </row>
    <row r="12" spans="1:2" x14ac:dyDescent="0.35">
      <c r="A12" s="7" t="s">
        <v>170</v>
      </c>
      <c r="B12" s="9">
        <f ca="1">MATCH(A12,DSR!A:A,0)</f>
        <v>47</v>
      </c>
    </row>
    <row r="13" spans="1:2" x14ac:dyDescent="0.35">
      <c r="A13" s="7" t="s">
        <v>236</v>
      </c>
      <c r="B13" s="9">
        <f ca="1">MATCH(A13,DSR!A:A,0)</f>
        <v>60</v>
      </c>
    </row>
    <row r="14" spans="1:2" x14ac:dyDescent="0.35">
      <c r="A14" s="7" t="s">
        <v>175</v>
      </c>
      <c r="B14" s="9">
        <f ca="1">MATCH(A14,DSR!A:A,0)</f>
        <v>86</v>
      </c>
    </row>
    <row r="15" spans="1:2" x14ac:dyDescent="0.35">
      <c r="A15" s="7" t="s">
        <v>182</v>
      </c>
      <c r="B15" s="9">
        <f ca="1">MATCH(A15,DSR!A:A,0)</f>
        <v>110</v>
      </c>
    </row>
    <row r="16" spans="1:2" x14ac:dyDescent="0.35">
      <c r="A16" s="7" t="s">
        <v>183</v>
      </c>
      <c r="B16" s="9">
        <f ca="1">MATCH(A16,DSR!A:A,0)</f>
        <v>117</v>
      </c>
    </row>
    <row r="17" spans="1:2" x14ac:dyDescent="0.35">
      <c r="A17" s="7" t="s">
        <v>188</v>
      </c>
      <c r="B17" s="9">
        <f>MATCH(A17,DSR!A:A,0)</f>
        <v>17</v>
      </c>
    </row>
    <row r="18" spans="1:2" x14ac:dyDescent="0.35">
      <c r="A18" s="7" t="s">
        <v>192</v>
      </c>
      <c r="B18" s="9">
        <f ca="1">MATCH(A18,DSR!A:A,0)</f>
        <v>140</v>
      </c>
    </row>
    <row r="19" spans="1:2" x14ac:dyDescent="0.35">
      <c r="A19" s="7" t="s">
        <v>195</v>
      </c>
      <c r="B19" s="9">
        <f ca="1">MATCH(A19,DSR!A:A,0)</f>
        <v>161</v>
      </c>
    </row>
    <row r="20" spans="1:2" x14ac:dyDescent="0.35">
      <c r="A20" s="7" t="s">
        <v>201</v>
      </c>
      <c r="B20" s="9">
        <f ca="1">MATCH(A20,DSR!A:A,0)</f>
        <v>170</v>
      </c>
    </row>
    <row r="21" spans="1:2" x14ac:dyDescent="0.35">
      <c r="A21" s="8" t="s">
        <v>213</v>
      </c>
      <c r="B21" s="10" t="str">
        <f>"C" &amp; INDEX(A:B, MATCH("PROJECT NAME:  ",A:A,0), 2)</f>
        <v>C3</v>
      </c>
    </row>
    <row r="22" spans="1:2" x14ac:dyDescent="0.35">
      <c r="A22" s="8" t="s">
        <v>211</v>
      </c>
      <c r="B22" s="10">
        <f ca="1">COUNT(INDIRECT("DSR!B"&amp;B9+1&amp;":B"&amp;(B10-1)))</f>
        <v>4</v>
      </c>
    </row>
    <row r="23" spans="1:2" x14ac:dyDescent="0.35">
      <c r="A23" s="8" t="s">
        <v>214</v>
      </c>
      <c r="B23" s="10" t="str">
        <f>"C" &amp; INDEX(A:B, MATCH("Cycle / Sprint:",A:A,0), 2)</f>
        <v>C5</v>
      </c>
    </row>
    <row r="24" spans="1:2" x14ac:dyDescent="0.35">
      <c r="A24" s="8" t="s">
        <v>215</v>
      </c>
      <c r="B24" s="10" t="str">
        <f>"C" &amp; INDEX(A:B, MATCH("OVERALL STATUS: ",A:A,0), 2)</f>
        <v>C7</v>
      </c>
    </row>
    <row r="25" spans="1:2" x14ac:dyDescent="0.35">
      <c r="A25" s="8" t="s">
        <v>216</v>
      </c>
      <c r="B25" s="10" t="str">
        <f>"C" &amp; INDEX(A:B, MATCH("Date",A:A,0), 2)</f>
        <v>C6</v>
      </c>
    </row>
    <row r="26" spans="1:2" x14ac:dyDescent="0.35">
      <c r="A26" s="8" t="s">
        <v>218</v>
      </c>
      <c r="B26" s="10" t="str">
        <f>"C" &amp; INDEX(A:B, MATCH("App Stream",A:A,0), 2)</f>
        <v>C8</v>
      </c>
    </row>
    <row r="27" spans="1:2" hidden="1" x14ac:dyDescent="0.35">
      <c r="A27" s="8" t="s">
        <v>211</v>
      </c>
      <c r="B27" s="10" cm="1">
        <f t="array" aca="1" ref="B27" ca="1">SUM(IF(ISBLANK(INDIRECT("DSR!A"&amp;(B9+1)&amp;":A"&amp;(B10-1))), 0, 1))</f>
        <v>4</v>
      </c>
    </row>
    <row r="28" spans="1:2" hidden="1" x14ac:dyDescent="0.35">
      <c r="A28" s="8" t="s">
        <v>210</v>
      </c>
      <c r="B28" s="10">
        <f>udfRowCount("Target Schedule", TRUE)</f>
        <v>4</v>
      </c>
    </row>
    <row r="29" spans="1:2" hidden="1" x14ac:dyDescent="0.35">
      <c r="A29" s="8" t="s">
        <v>209</v>
      </c>
      <c r="B29" s="10" t="str">
        <f ca="1">IF(B27&gt;B28,"Delete",IF(B27&lt;B28,"Insert","Do Nothing"))</f>
        <v>Do Nothing</v>
      </c>
    </row>
    <row r="30" spans="1:2" hidden="1" x14ac:dyDescent="0.35">
      <c r="A30" s="8" t="s">
        <v>208</v>
      </c>
      <c r="B30" s="10">
        <f ca="1">ABS(B27-B28)</f>
        <v>0</v>
      </c>
    </row>
    <row r="31" spans="1:2" hidden="1" x14ac:dyDescent="0.35">
      <c r="A31" s="8" t="s">
        <v>212</v>
      </c>
      <c r="B31" s="10" t="str">
        <f ca="1">B8+2 &amp;":"&amp;B8+1+B30</f>
        <v>26:25</v>
      </c>
    </row>
    <row r="32" spans="1:2" hidden="1" x14ac:dyDescent="0.35">
      <c r="A32" s="8" t="s">
        <v>217</v>
      </c>
      <c r="B32" s="10" t="str">
        <f ca="1">"C" &amp; INDEX(A:B, MATCH("Imp. Date:",A:A,0), 2)</f>
        <v>C44</v>
      </c>
    </row>
    <row r="33" hidden="1" x14ac:dyDescent="0.35"/>
    <row r="34" hidden="1" x14ac:dyDescent="0.35"/>
    <row r="35" hidden="1" x14ac:dyDescent="0.35"/>
    <row r="36" hidden="1" x14ac:dyDescent="0.35"/>
    <row r="37" hidden="1" x14ac:dyDescent="0.35"/>
    <row r="38" hidden="1" x14ac:dyDescent="0.35"/>
    <row r="39" hidden="1" x14ac:dyDescent="0.35"/>
    <row r="40" hidden="1" x14ac:dyDescent="0.35"/>
    <row r="41" hidden="1" x14ac:dyDescent="0.35"/>
    <row r="42" hidden="1" x14ac:dyDescent="0.35"/>
    <row r="43" hidden="1" x14ac:dyDescent="0.35"/>
    <row r="44" hidden="1" x14ac:dyDescent="0.35"/>
    <row r="89" spans="3:6" x14ac:dyDescent="0.35">
      <c r="C89">
        <v>0</v>
      </c>
      <c r="D89">
        <v>0</v>
      </c>
      <c r="E89">
        <v>0</v>
      </c>
      <c r="F89">
        <v>0</v>
      </c>
    </row>
    <row r="90" spans="3:6" x14ac:dyDescent="0.35">
      <c r="C90">
        <v>0</v>
      </c>
      <c r="D90">
        <v>0</v>
      </c>
      <c r="E90">
        <v>0</v>
      </c>
      <c r="F90">
        <v>0</v>
      </c>
    </row>
    <row r="91" spans="3:6" x14ac:dyDescent="0.35">
      <c r="C91">
        <v>0</v>
      </c>
      <c r="D91">
        <v>0</v>
      </c>
      <c r="E91">
        <v>0</v>
      </c>
      <c r="F91">
        <v>0</v>
      </c>
    </row>
    <row r="92" spans="3:6" x14ac:dyDescent="0.35">
      <c r="C92">
        <v>0</v>
      </c>
      <c r="D92">
        <v>0</v>
      </c>
      <c r="E92">
        <v>0</v>
      </c>
      <c r="F92">
        <v>0</v>
      </c>
    </row>
    <row r="93" spans="3:6" x14ac:dyDescent="0.35">
      <c r="C93">
        <v>0</v>
      </c>
      <c r="D93">
        <v>0</v>
      </c>
      <c r="E93">
        <v>0</v>
      </c>
      <c r="F93">
        <v>0</v>
      </c>
    </row>
    <row r="94" spans="3:6" x14ac:dyDescent="0.35">
      <c r="C94">
        <v>0</v>
      </c>
      <c r="D94">
        <v>0</v>
      </c>
      <c r="E94">
        <v>0</v>
      </c>
      <c r="F94">
        <v>0</v>
      </c>
    </row>
    <row r="95" spans="3:6" x14ac:dyDescent="0.35">
      <c r="C95">
        <v>0</v>
      </c>
      <c r="D95">
        <v>0</v>
      </c>
      <c r="E95">
        <v>0</v>
      </c>
      <c r="F95">
        <v>0</v>
      </c>
    </row>
    <row r="96" spans="3:6" x14ac:dyDescent="0.35">
      <c r="C96">
        <v>0</v>
      </c>
      <c r="D96">
        <v>0</v>
      </c>
      <c r="E96">
        <v>0</v>
      </c>
      <c r="F96">
        <v>0</v>
      </c>
    </row>
    <row r="97" spans="3:6" x14ac:dyDescent="0.35">
      <c r="C97">
        <v>0</v>
      </c>
      <c r="D97">
        <v>0</v>
      </c>
      <c r="E97">
        <v>0</v>
      </c>
      <c r="F97">
        <v>0</v>
      </c>
    </row>
    <row r="98" spans="3:6" x14ac:dyDescent="0.35">
      <c r="C98">
        <v>0</v>
      </c>
      <c r="D98">
        <v>0</v>
      </c>
      <c r="E98">
        <v>0</v>
      </c>
      <c r="F98">
        <v>0</v>
      </c>
    </row>
    <row r="99" spans="3:6" x14ac:dyDescent="0.35">
      <c r="C99">
        <v>0</v>
      </c>
      <c r="D99">
        <v>0</v>
      </c>
      <c r="E99">
        <v>0</v>
      </c>
      <c r="F99">
        <v>0</v>
      </c>
    </row>
    <row r="100" spans="3:6" x14ac:dyDescent="0.35">
      <c r="C100">
        <v>0</v>
      </c>
      <c r="D100">
        <v>0</v>
      </c>
      <c r="E100">
        <v>0</v>
      </c>
      <c r="F100">
        <v>0</v>
      </c>
    </row>
    <row r="101" spans="3:6" x14ac:dyDescent="0.35">
      <c r="C101">
        <v>0</v>
      </c>
      <c r="D101">
        <v>0</v>
      </c>
      <c r="E101">
        <v>0</v>
      </c>
      <c r="F101">
        <v>0</v>
      </c>
    </row>
    <row r="102" spans="3:6" x14ac:dyDescent="0.35">
      <c r="C102">
        <v>0</v>
      </c>
      <c r="D102">
        <v>0</v>
      </c>
      <c r="E102">
        <v>0</v>
      </c>
      <c r="F102">
        <v>0</v>
      </c>
    </row>
    <row r="103" spans="3:6" x14ac:dyDescent="0.35">
      <c r="C103">
        <v>0</v>
      </c>
      <c r="D103">
        <v>0</v>
      </c>
      <c r="E103">
        <v>0</v>
      </c>
      <c r="F103">
        <v>0</v>
      </c>
    </row>
    <row r="104" spans="3:6" x14ac:dyDescent="0.35">
      <c r="C104">
        <v>0</v>
      </c>
      <c r="D104">
        <v>0</v>
      </c>
      <c r="E104">
        <v>0</v>
      </c>
      <c r="F104">
        <v>0</v>
      </c>
    </row>
    <row r="105" spans="3:6" x14ac:dyDescent="0.35">
      <c r="C105">
        <v>0</v>
      </c>
      <c r="D105">
        <v>0</v>
      </c>
      <c r="E105">
        <v>0</v>
      </c>
      <c r="F105">
        <v>0</v>
      </c>
    </row>
    <row r="106" spans="3:6" x14ac:dyDescent="0.35">
      <c r="C106">
        <v>0</v>
      </c>
      <c r="D106">
        <v>0</v>
      </c>
      <c r="E106">
        <v>0</v>
      </c>
      <c r="F106">
        <v>0</v>
      </c>
    </row>
    <row r="107" spans="3:6" x14ac:dyDescent="0.35">
      <c r="C107">
        <v>0</v>
      </c>
      <c r="D107">
        <v>0</v>
      </c>
      <c r="E107">
        <v>0</v>
      </c>
      <c r="F107">
        <v>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7F43C-F3B8-4793-8760-D11CC81EC70D}">
  <sheetPr codeName="Sheet25"/>
  <dimension ref="A1:B6"/>
  <sheetViews>
    <sheetView workbookViewId="0">
      <selection sqref="A1:XFD1048576"/>
    </sheetView>
  </sheetViews>
  <sheetFormatPr defaultRowHeight="14.4" x14ac:dyDescent="0.35"/>
  <cols>
    <col min="1" max="1" width="12.5546875" bestFit="1" customWidth="1"/>
    <col min="2" max="2" width="14.6640625" bestFit="1" customWidth="1"/>
    <col min="3" max="3" width="11.109375" bestFit="1" customWidth="1"/>
  </cols>
  <sheetData>
    <row r="1" spans="1:2" x14ac:dyDescent="0.35">
      <c r="A1" t="s">
        <v>538</v>
      </c>
      <c r="B1" t="s">
        <v>539</v>
      </c>
    </row>
    <row r="2" spans="1:2" x14ac:dyDescent="0.35">
      <c r="A2">
        <v>0</v>
      </c>
      <c r="B2">
        <v>0</v>
      </c>
    </row>
    <row r="3" spans="1:2" x14ac:dyDescent="0.35">
      <c r="A3" t="s">
        <v>540</v>
      </c>
      <c r="B3">
        <v>0</v>
      </c>
    </row>
    <row r="4" spans="1:2" x14ac:dyDescent="0.35">
      <c r="A4" t="s">
        <v>541</v>
      </c>
      <c r="B4">
        <v>0</v>
      </c>
    </row>
    <row r="5" spans="1:2" x14ac:dyDescent="0.35">
      <c r="A5" t="s">
        <v>542</v>
      </c>
      <c r="B5">
        <v>0</v>
      </c>
    </row>
    <row r="6" spans="1:2" x14ac:dyDescent="0.35">
      <c r="A6" t="s">
        <v>543</v>
      </c>
      <c r="B6">
        <v>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A61E-8F45-4955-BF64-5DBE95552D0A}">
  <sheetPr codeName="Sheet16"/>
  <dimension ref="A1:HN178"/>
  <sheetViews>
    <sheetView topLeftCell="A26" zoomScaleNormal="100" workbookViewId="0">
      <selection activeCell="C5" sqref="C5"/>
    </sheetView>
  </sheetViews>
  <sheetFormatPr defaultColWidth="9.109375" defaultRowHeight="12" x14ac:dyDescent="0.3"/>
  <cols>
    <col min="1" max="3" width="11.88671875" style="14" customWidth="1"/>
    <col min="4" max="4" width="13.33203125" style="14" customWidth="1"/>
    <col min="5" max="10" width="11.88671875" style="14" customWidth="1"/>
    <col min="11" max="11" width="13.109375" style="14" bestFit="1" customWidth="1"/>
    <col min="12" max="12" width="25.33203125" style="14" bestFit="1" customWidth="1"/>
    <col min="13" max="13" width="10.6640625" style="14" bestFit="1" customWidth="1"/>
    <col min="14" max="15" width="11.6640625" style="14" bestFit="1" customWidth="1"/>
    <col min="16" max="16" width="7.109375" style="14" bestFit="1" customWidth="1"/>
    <col min="17" max="17" width="11.33203125" style="14" bestFit="1" customWidth="1"/>
    <col min="18" max="18" width="11.6640625" style="14" bestFit="1" customWidth="1"/>
    <col min="19" max="19" width="12" style="14" bestFit="1" customWidth="1"/>
    <col min="20" max="20" width="8.88671875" style="14" bestFit="1" customWidth="1"/>
    <col min="21" max="21" width="12.33203125" style="14" bestFit="1" customWidth="1"/>
    <col min="22" max="22" width="11.33203125" style="14" bestFit="1" customWidth="1"/>
    <col min="23" max="47" width="9.109375" style="14"/>
    <col min="48" max="48" width="25.33203125" style="14" bestFit="1" customWidth="1"/>
    <col min="49" max="49" width="16.109375" style="14" bestFit="1" customWidth="1"/>
    <col min="50" max="50" width="6.88671875" style="14" bestFit="1" customWidth="1"/>
    <col min="51" max="52" width="11.33203125" style="14" bestFit="1" customWidth="1"/>
    <col min="53" max="154" width="9.109375" style="14"/>
    <col min="155" max="155" width="13.5546875" style="14" bestFit="1" customWidth="1"/>
    <col min="156" max="156" width="19.44140625" style="14" bestFit="1" customWidth="1"/>
    <col min="157" max="157" width="19.88671875" style="14" bestFit="1" customWidth="1"/>
    <col min="158" max="158" width="12.88671875" style="14" bestFit="1" customWidth="1"/>
    <col min="159" max="161" width="3.33203125" style="14" bestFit="1" customWidth="1"/>
    <col min="162" max="166" width="4.33203125" style="14" bestFit="1" customWidth="1"/>
    <col min="167" max="167" width="11.33203125" style="14" bestFit="1" customWidth="1"/>
    <col min="168" max="168" width="11.5546875" style="14" bestFit="1" customWidth="1"/>
    <col min="169" max="170" width="10.6640625" style="14" bestFit="1" customWidth="1"/>
    <col min="171" max="172" width="11.6640625" style="14" bestFit="1" customWidth="1"/>
    <col min="173" max="173" width="13.5546875" style="14" bestFit="1" customWidth="1"/>
    <col min="174" max="174" width="25" style="14" bestFit="1" customWidth="1"/>
    <col min="175" max="175" width="20.6640625" style="14" bestFit="1" customWidth="1"/>
    <col min="176" max="176" width="18.6640625" style="14" bestFit="1" customWidth="1"/>
    <col min="177" max="177" width="20.109375" style="14" bestFit="1" customWidth="1"/>
    <col min="178" max="178" width="24.33203125" style="14" bestFit="1" customWidth="1"/>
    <col min="179" max="179" width="20.109375" style="14" bestFit="1" customWidth="1"/>
    <col min="180" max="180" width="24.33203125" style="14" bestFit="1" customWidth="1"/>
    <col min="181" max="181" width="20.109375" style="14" bestFit="1" customWidth="1"/>
    <col min="182" max="182" width="24.33203125" style="14" bestFit="1" customWidth="1"/>
    <col min="183" max="183" width="20.109375" style="14" bestFit="1" customWidth="1"/>
    <col min="184" max="184" width="24.33203125" style="14" bestFit="1" customWidth="1"/>
    <col min="185" max="185" width="20.109375" style="14" bestFit="1" customWidth="1"/>
    <col min="186" max="186" width="24.33203125" style="14" bestFit="1" customWidth="1"/>
    <col min="187" max="187" width="13.5546875" style="14" bestFit="1" customWidth="1"/>
    <col min="188" max="188" width="22.6640625" style="14" bestFit="1" customWidth="1"/>
    <col min="189" max="189" width="2.109375" style="14" bestFit="1" customWidth="1"/>
    <col min="190" max="191" width="11.33203125" style="14" bestFit="1" customWidth="1"/>
    <col min="192" max="192" width="9.109375" style="14"/>
    <col min="193" max="194" width="12.33203125" style="14" bestFit="1" customWidth="1"/>
    <col min="195" max="195" width="11.33203125" style="14" bestFit="1" customWidth="1"/>
    <col min="196" max="218" width="9.109375" style="14"/>
    <col min="219" max="219" width="16.33203125" style="14" bestFit="1" customWidth="1"/>
    <col min="220" max="220" width="21.5546875" style="14" bestFit="1" customWidth="1"/>
    <col min="221" max="221" width="27.6640625" style="14" bestFit="1" customWidth="1"/>
    <col min="222" max="222" width="25" style="14" bestFit="1" customWidth="1"/>
    <col min="223" max="16384" width="9.109375" style="14"/>
  </cols>
  <sheetData>
    <row r="1" spans="1:222" ht="25.5" customHeight="1" x14ac:dyDescent="0.3">
      <c r="A1" s="120" t="s">
        <v>228</v>
      </c>
      <c r="B1" s="121"/>
      <c r="C1" s="121"/>
      <c r="D1" s="121"/>
      <c r="E1" s="121"/>
      <c r="F1" s="121"/>
      <c r="G1" s="121"/>
      <c r="H1" s="121"/>
      <c r="I1" s="13"/>
    </row>
    <row r="2" spans="1:222" x14ac:dyDescent="0.3">
      <c r="A2" s="15"/>
      <c r="B2" s="15"/>
      <c r="C2" s="15"/>
      <c r="D2" s="15"/>
      <c r="E2" s="15"/>
      <c r="F2" s="15"/>
      <c r="G2" s="15"/>
      <c r="H2" s="16"/>
    </row>
    <row r="3" spans="1:222" x14ac:dyDescent="0.3">
      <c r="A3" s="122" t="s">
        <v>161</v>
      </c>
      <c r="B3" s="123"/>
      <c r="C3" s="124" t="str">
        <f>Login!K5</f>
        <v>PBPTINTK-3366 - OSFI MVP 8.2 - 1E</v>
      </c>
      <c r="D3" s="124"/>
      <c r="E3" s="124"/>
      <c r="F3" s="15"/>
      <c r="G3" s="15"/>
      <c r="H3" s="16"/>
    </row>
    <row r="4" spans="1:222" x14ac:dyDescent="0.3">
      <c r="A4" s="17"/>
      <c r="B4" s="18"/>
      <c r="C4" s="15"/>
      <c r="D4" s="15"/>
      <c r="E4" s="15"/>
      <c r="F4" s="15"/>
      <c r="G4" s="15"/>
      <c r="H4" s="16"/>
    </row>
    <row r="5" spans="1:222" x14ac:dyDescent="0.3">
      <c r="A5" s="125" t="s">
        <v>162</v>
      </c>
      <c r="B5" s="125"/>
      <c r="C5" s="19" t="s">
        <v>686</v>
      </c>
      <c r="D5" s="15"/>
      <c r="E5" s="15"/>
      <c r="F5" s="15"/>
      <c r="G5" s="15"/>
      <c r="H5" s="16"/>
    </row>
    <row r="6" spans="1:222" ht="14.4" x14ac:dyDescent="0.35">
      <c r="A6" s="122" t="s">
        <v>163</v>
      </c>
      <c r="B6" s="123"/>
      <c r="C6" s="70">
        <f ca="1">TODAY()</f>
        <v>45943</v>
      </c>
      <c r="D6" s="15"/>
      <c r="E6" s="15"/>
      <c r="F6" s="15"/>
      <c r="G6" s="15"/>
      <c r="H6" s="16"/>
      <c r="EY6" s="118" t="s">
        <v>22</v>
      </c>
      <c r="EZ6" t="s">
        <v>116</v>
      </c>
    </row>
    <row r="7" spans="1:222" ht="14.4" x14ac:dyDescent="0.35">
      <c r="A7" s="126" t="s">
        <v>239</v>
      </c>
      <c r="B7" s="127"/>
      <c r="C7" s="128" t="s">
        <v>524</v>
      </c>
      <c r="D7" s="128"/>
      <c r="E7" s="15"/>
      <c r="F7" s="15"/>
      <c r="G7" s="15"/>
      <c r="H7" s="16"/>
      <c r="EY7" s="118" t="s">
        <v>152</v>
      </c>
      <c r="EZ7" t="s">
        <v>686</v>
      </c>
      <c r="GF7"/>
      <c r="GG7"/>
    </row>
    <row r="8" spans="1:222" ht="14.4" x14ac:dyDescent="0.35">
      <c r="A8" s="133" t="s">
        <v>164</v>
      </c>
      <c r="B8" s="134"/>
      <c r="C8" s="135"/>
      <c r="D8" s="135"/>
      <c r="E8" s="135"/>
      <c r="F8" s="15"/>
      <c r="G8" s="15"/>
      <c r="H8" s="16"/>
      <c r="GE8"/>
      <c r="GF8"/>
    </row>
    <row r="9" spans="1:222" ht="14.4" x14ac:dyDescent="0.35">
      <c r="A9" s="17"/>
      <c r="B9" s="18"/>
      <c r="C9" s="15"/>
      <c r="D9" s="15"/>
      <c r="E9" s="15"/>
      <c r="F9" s="15"/>
      <c r="G9" s="15"/>
      <c r="H9" s="16"/>
      <c r="EY9" s="118" t="s">
        <v>534</v>
      </c>
      <c r="EZ9" t="s">
        <v>749</v>
      </c>
      <c r="FA9" t="s">
        <v>750</v>
      </c>
      <c r="FQ9" s="118" t="s">
        <v>534</v>
      </c>
      <c r="FR9" t="s">
        <v>535</v>
      </c>
      <c r="FS9" t="s">
        <v>536</v>
      </c>
      <c r="FT9" t="s">
        <v>537</v>
      </c>
      <c r="FU9"/>
      <c r="FV9"/>
      <c r="FW9"/>
      <c r="FX9"/>
      <c r="FY9"/>
      <c r="FZ9"/>
      <c r="GA9"/>
      <c r="GB9"/>
      <c r="GC9"/>
      <c r="GD9"/>
      <c r="GE9"/>
      <c r="GF9"/>
      <c r="GG9"/>
      <c r="GH9"/>
      <c r="GI9"/>
      <c r="GJ9"/>
      <c r="GK9"/>
      <c r="GL9"/>
      <c r="GM9"/>
      <c r="HK9" s="118" t="s">
        <v>534</v>
      </c>
      <c r="HL9" t="s">
        <v>550</v>
      </c>
      <c r="HM9" t="s">
        <v>551</v>
      </c>
      <c r="HN9" t="s">
        <v>535</v>
      </c>
    </row>
    <row r="10" spans="1:222" ht="14.4" x14ac:dyDescent="0.35">
      <c r="A10" s="136" t="s">
        <v>165</v>
      </c>
      <c r="B10" s="136"/>
      <c r="C10" s="15"/>
      <c r="D10" s="15"/>
      <c r="E10" s="15"/>
      <c r="F10" s="15"/>
      <c r="G10" s="15"/>
      <c r="H10" s="16"/>
      <c r="EY10" s="119" t="s">
        <v>711</v>
      </c>
      <c r="EZ10">
        <v>500</v>
      </c>
      <c r="FA10">
        <v>510</v>
      </c>
      <c r="FQ10" s="119" t="s">
        <v>694</v>
      </c>
      <c r="FR10">
        <v>0</v>
      </c>
      <c r="FS10">
        <v>1</v>
      </c>
      <c r="FT10">
        <v>1</v>
      </c>
      <c r="FU10"/>
      <c r="FV10"/>
      <c r="FW10"/>
      <c r="FX10"/>
      <c r="FY10"/>
      <c r="FZ10"/>
      <c r="GA10"/>
      <c r="GB10"/>
      <c r="GC10"/>
      <c r="GD10"/>
      <c r="GE10" s="118" t="s">
        <v>534</v>
      </c>
      <c r="GF10" t="s">
        <v>544</v>
      </c>
      <c r="GG10"/>
      <c r="GH10"/>
      <c r="GI10"/>
      <c r="GJ10"/>
      <c r="GK10"/>
      <c r="GL10"/>
      <c r="GM10"/>
      <c r="HK10" s="119" t="s">
        <v>671</v>
      </c>
      <c r="HL10">
        <v>0</v>
      </c>
      <c r="HM10">
        <v>0</v>
      </c>
      <c r="HN10">
        <v>1</v>
      </c>
    </row>
    <row r="11" spans="1:222" ht="14.4" x14ac:dyDescent="0.35">
      <c r="A11" s="137" t="e">
        <v>#N/A</v>
      </c>
      <c r="B11" s="138"/>
      <c r="C11" s="138"/>
      <c r="D11" s="138"/>
      <c r="E11" s="139"/>
      <c r="F11" s="15"/>
      <c r="G11" s="15"/>
      <c r="H11" s="16"/>
      <c r="P11" s="20"/>
      <c r="EY11" s="119" t="s">
        <v>712</v>
      </c>
      <c r="EZ11">
        <v>504</v>
      </c>
      <c r="FA11">
        <v>507</v>
      </c>
      <c r="FQ11" s="119" t="s">
        <v>695</v>
      </c>
      <c r="FR11">
        <v>0</v>
      </c>
      <c r="FS11">
        <v>10</v>
      </c>
      <c r="FT11">
        <v>10</v>
      </c>
      <c r="FU11"/>
      <c r="FV11"/>
      <c r="FW11"/>
      <c r="FX11"/>
      <c r="FY11"/>
      <c r="FZ11"/>
      <c r="GA11"/>
      <c r="GB11"/>
      <c r="GC11"/>
      <c r="GD11"/>
      <c r="GE11" s="119">
        <v>0</v>
      </c>
      <c r="GF11">
        <v>0</v>
      </c>
      <c r="GG11"/>
      <c r="GH11"/>
      <c r="GI11"/>
      <c r="GJ11"/>
      <c r="GK11"/>
      <c r="GL11"/>
      <c r="GM11"/>
      <c r="HK11" s="119" t="s">
        <v>689</v>
      </c>
      <c r="HL11">
        <v>1</v>
      </c>
      <c r="HM11">
        <v>0</v>
      </c>
      <c r="HN11">
        <v>0</v>
      </c>
    </row>
    <row r="12" spans="1:222" ht="14.4" x14ac:dyDescent="0.35">
      <c r="A12" s="115"/>
      <c r="B12" s="116"/>
      <c r="C12" s="116"/>
      <c r="D12" s="116"/>
      <c r="E12" s="116"/>
      <c r="F12" s="15"/>
      <c r="G12" s="15"/>
      <c r="H12" s="16"/>
      <c r="P12" s="20"/>
      <c r="EY12" s="119" t="s">
        <v>713</v>
      </c>
      <c r="EZ12">
        <v>451</v>
      </c>
      <c r="FA12">
        <v>479</v>
      </c>
      <c r="FB12"/>
      <c r="FC12"/>
      <c r="FD12"/>
      <c r="FE12"/>
      <c r="FF12"/>
      <c r="FG12"/>
      <c r="FH12"/>
      <c r="FI12"/>
      <c r="FJ12"/>
      <c r="FK12"/>
      <c r="FL12"/>
      <c r="FM12"/>
      <c r="FN12"/>
      <c r="FO12"/>
      <c r="FP12"/>
      <c r="FQ12" s="119" t="s">
        <v>696</v>
      </c>
      <c r="FR12">
        <v>0</v>
      </c>
      <c r="FS12">
        <v>5</v>
      </c>
      <c r="FT12">
        <v>5</v>
      </c>
      <c r="FU12"/>
      <c r="FV12"/>
      <c r="FW12"/>
      <c r="FX12"/>
      <c r="FY12"/>
      <c r="FZ12"/>
      <c r="GA12"/>
      <c r="GB12"/>
      <c r="GC12"/>
      <c r="GD12"/>
      <c r="GE12" s="119" t="s">
        <v>540</v>
      </c>
      <c r="GF12">
        <v>0</v>
      </c>
      <c r="GG12"/>
      <c r="GH12"/>
      <c r="GI12"/>
      <c r="GJ12"/>
      <c r="GK12"/>
      <c r="GL12"/>
      <c r="GM12"/>
      <c r="HK12" s="119" t="s">
        <v>238</v>
      </c>
      <c r="HL12">
        <v>11</v>
      </c>
      <c r="HM12">
        <v>0</v>
      </c>
      <c r="HN12">
        <v>0</v>
      </c>
    </row>
    <row r="13" spans="1:222" ht="14.4" hidden="1" x14ac:dyDescent="0.35">
      <c r="A13" s="115"/>
      <c r="B13" s="116"/>
      <c r="C13" s="116"/>
      <c r="D13" s="116"/>
      <c r="E13" s="116"/>
      <c r="F13" s="15"/>
      <c r="G13" s="15"/>
      <c r="H13" s="16"/>
      <c r="P13" s="20"/>
      <c r="EY13" s="119" t="s">
        <v>714</v>
      </c>
      <c r="EZ13">
        <v>403</v>
      </c>
      <c r="FA13">
        <v>441</v>
      </c>
      <c r="FB13"/>
      <c r="FC13"/>
      <c r="FD13"/>
      <c r="FE13"/>
      <c r="FF13"/>
      <c r="FG13"/>
      <c r="FH13"/>
      <c r="FI13"/>
      <c r="FJ13"/>
      <c r="FK13"/>
      <c r="FL13"/>
      <c r="FM13"/>
      <c r="FN13"/>
      <c r="FO13"/>
      <c r="FP13"/>
      <c r="FQ13" s="119" t="s">
        <v>697</v>
      </c>
      <c r="FR13">
        <v>0</v>
      </c>
      <c r="FS13">
        <v>4</v>
      </c>
      <c r="FT13">
        <v>4</v>
      </c>
      <c r="FU13"/>
      <c r="FV13"/>
      <c r="FW13"/>
      <c r="FX13"/>
      <c r="FY13"/>
      <c r="FZ13"/>
      <c r="GA13"/>
      <c r="GB13"/>
      <c r="GC13"/>
      <c r="GD13"/>
      <c r="GE13" s="119" t="s">
        <v>541</v>
      </c>
      <c r="GF13">
        <v>0</v>
      </c>
      <c r="GG13"/>
      <c r="GH13"/>
      <c r="GI13"/>
      <c r="GJ13"/>
      <c r="GK13"/>
      <c r="GL13"/>
      <c r="GM13"/>
      <c r="HK13" s="119" t="s">
        <v>690</v>
      </c>
      <c r="HL13">
        <v>2</v>
      </c>
      <c r="HM13">
        <v>0</v>
      </c>
      <c r="HN13">
        <v>0</v>
      </c>
    </row>
    <row r="14" spans="1:222" ht="14.4" hidden="1" x14ac:dyDescent="0.35">
      <c r="A14" s="115"/>
      <c r="B14" s="116"/>
      <c r="C14" s="116"/>
      <c r="D14" s="116"/>
      <c r="E14" s="116"/>
      <c r="F14" s="15"/>
      <c r="G14" s="15"/>
      <c r="H14" s="16"/>
      <c r="P14" s="20"/>
      <c r="EY14" s="119" t="s">
        <v>751</v>
      </c>
      <c r="EZ14">
        <v>363</v>
      </c>
      <c r="FA14">
        <v>402</v>
      </c>
      <c r="FB14"/>
      <c r="FC14"/>
      <c r="FD14"/>
      <c r="FE14"/>
      <c r="FF14"/>
      <c r="FG14"/>
      <c r="FH14"/>
      <c r="FI14"/>
      <c r="FJ14"/>
      <c r="FK14"/>
      <c r="FL14"/>
      <c r="FM14"/>
      <c r="FN14"/>
      <c r="FO14"/>
      <c r="FP14"/>
      <c r="FQ14" s="119" t="s">
        <v>698</v>
      </c>
      <c r="FR14">
        <v>0</v>
      </c>
      <c r="FS14">
        <v>3</v>
      </c>
      <c r="FT14">
        <v>3</v>
      </c>
      <c r="FU14"/>
      <c r="FV14"/>
      <c r="FW14"/>
      <c r="FX14"/>
      <c r="FY14"/>
      <c r="FZ14"/>
      <c r="GA14"/>
      <c r="GB14"/>
      <c r="GC14"/>
      <c r="GD14"/>
      <c r="GE14" s="119" t="s">
        <v>542</v>
      </c>
      <c r="GF14">
        <v>0</v>
      </c>
      <c r="GG14"/>
      <c r="GH14"/>
      <c r="GI14"/>
      <c r="GJ14"/>
      <c r="GK14"/>
      <c r="GL14"/>
      <c r="GM14"/>
      <c r="HK14" s="119" t="s">
        <v>691</v>
      </c>
      <c r="HL14">
        <v>1</v>
      </c>
      <c r="HM14">
        <v>0</v>
      </c>
      <c r="HN14">
        <v>0</v>
      </c>
    </row>
    <row r="15" spans="1:222" ht="14.4" hidden="1" x14ac:dyDescent="0.35">
      <c r="A15" s="115"/>
      <c r="B15" s="116"/>
      <c r="C15" s="116"/>
      <c r="D15" s="116"/>
      <c r="E15" s="116"/>
      <c r="F15" s="15"/>
      <c r="G15" s="15"/>
      <c r="H15" s="16"/>
      <c r="P15" s="20"/>
      <c r="EY15" s="119" t="s">
        <v>715</v>
      </c>
      <c r="EZ15">
        <v>314</v>
      </c>
      <c r="FA15">
        <v>358</v>
      </c>
      <c r="FB15"/>
      <c r="FC15"/>
      <c r="FD15"/>
      <c r="FE15"/>
      <c r="FF15"/>
      <c r="FG15"/>
      <c r="FH15"/>
      <c r="FI15"/>
      <c r="FJ15"/>
      <c r="FK15"/>
      <c r="FL15"/>
      <c r="FM15"/>
      <c r="FN15"/>
      <c r="FO15"/>
      <c r="FP15"/>
      <c r="FQ15" s="119" t="s">
        <v>699</v>
      </c>
      <c r="FR15">
        <v>0</v>
      </c>
      <c r="FS15">
        <v>5</v>
      </c>
      <c r="FT15">
        <v>5</v>
      </c>
      <c r="FU15"/>
      <c r="FV15"/>
      <c r="FW15"/>
      <c r="FX15"/>
      <c r="FY15"/>
      <c r="FZ15"/>
      <c r="GA15"/>
      <c r="GB15"/>
      <c r="GC15"/>
      <c r="GD15"/>
      <c r="GE15" s="119" t="s">
        <v>543</v>
      </c>
      <c r="GF15">
        <v>2</v>
      </c>
      <c r="GG15"/>
      <c r="GH15"/>
      <c r="GI15"/>
      <c r="GJ15"/>
      <c r="GK15"/>
      <c r="GL15"/>
      <c r="GM15"/>
      <c r="HK15" s="119" t="s">
        <v>692</v>
      </c>
      <c r="HL15">
        <v>1</v>
      </c>
      <c r="HM15">
        <v>0</v>
      </c>
      <c r="HN15">
        <v>1</v>
      </c>
    </row>
    <row r="16" spans="1:222" ht="14.4" hidden="1" x14ac:dyDescent="0.35">
      <c r="A16" s="110"/>
      <c r="B16" s="112"/>
      <c r="C16" s="112"/>
      <c r="D16" s="112"/>
      <c r="E16" s="112"/>
      <c r="F16" s="15"/>
      <c r="G16" s="15"/>
      <c r="H16" s="16"/>
      <c r="EY16" s="119" t="s">
        <v>716</v>
      </c>
      <c r="EZ16">
        <v>304</v>
      </c>
      <c r="FA16">
        <v>331</v>
      </c>
      <c r="FB16"/>
      <c r="FC16"/>
      <c r="FD16"/>
      <c r="FE16"/>
      <c r="FF16"/>
      <c r="FG16"/>
      <c r="FH16"/>
      <c r="FI16"/>
      <c r="FJ16"/>
      <c r="FK16"/>
      <c r="FL16"/>
      <c r="FM16"/>
      <c r="FN16"/>
      <c r="FO16"/>
      <c r="FP16"/>
      <c r="FQ16" s="119" t="s">
        <v>700</v>
      </c>
      <c r="FR16">
        <v>0</v>
      </c>
      <c r="FS16">
        <v>1</v>
      </c>
      <c r="FT16">
        <v>1</v>
      </c>
      <c r="FU16"/>
      <c r="FV16"/>
      <c r="FW16"/>
      <c r="FX16"/>
      <c r="FY16"/>
      <c r="FZ16"/>
      <c r="GA16"/>
      <c r="GB16"/>
      <c r="GC16"/>
      <c r="GD16"/>
      <c r="GE16" s="119" t="s">
        <v>529</v>
      </c>
      <c r="GF16">
        <v>2</v>
      </c>
      <c r="GG16"/>
      <c r="GH16"/>
      <c r="GI16"/>
      <c r="GJ16"/>
      <c r="GK16"/>
      <c r="GL16"/>
      <c r="GM16"/>
      <c r="HK16" s="119" t="s">
        <v>672</v>
      </c>
      <c r="HL16">
        <v>12</v>
      </c>
      <c r="HM16">
        <v>0</v>
      </c>
      <c r="HN16">
        <v>0</v>
      </c>
    </row>
    <row r="17" spans="1:222" ht="14.4" x14ac:dyDescent="0.35">
      <c r="A17" s="21" t="s">
        <v>188</v>
      </c>
      <c r="B17" s="22"/>
      <c r="C17" s="22"/>
      <c r="D17" s="68"/>
      <c r="E17" s="22"/>
      <c r="F17" s="22"/>
      <c r="G17" s="22"/>
      <c r="H17" s="23"/>
      <c r="I17" s="13"/>
      <c r="J17" s="13"/>
      <c r="K17"/>
      <c r="L17"/>
      <c r="AV17"/>
      <c r="AW17"/>
      <c r="EY17" s="119" t="s">
        <v>717</v>
      </c>
      <c r="EZ17">
        <v>279</v>
      </c>
      <c r="FA17">
        <v>305</v>
      </c>
      <c r="FB17"/>
      <c r="FC17"/>
      <c r="FD17"/>
      <c r="FE17"/>
      <c r="FF17"/>
      <c r="FG17"/>
      <c r="FH17"/>
      <c r="FI17"/>
      <c r="FJ17"/>
      <c r="FK17"/>
      <c r="FL17"/>
      <c r="FM17"/>
      <c r="FN17"/>
      <c r="FO17"/>
      <c r="FP17"/>
      <c r="FQ17" s="119" t="s">
        <v>701</v>
      </c>
      <c r="FR17">
        <v>0</v>
      </c>
      <c r="FS17">
        <v>1</v>
      </c>
      <c r="FT17">
        <v>1</v>
      </c>
      <c r="FU17"/>
      <c r="FV17"/>
      <c r="FW17"/>
      <c r="FX17"/>
      <c r="FY17"/>
      <c r="FZ17"/>
      <c r="GA17"/>
      <c r="GB17"/>
      <c r="GC17"/>
      <c r="GD17"/>
      <c r="GE17"/>
      <c r="GF17"/>
      <c r="GG17"/>
      <c r="GH17"/>
      <c r="GI17"/>
      <c r="GJ17"/>
      <c r="GK17"/>
      <c r="GL17"/>
      <c r="GM17"/>
      <c r="HK17" s="119" t="s">
        <v>693</v>
      </c>
      <c r="HL17">
        <v>95</v>
      </c>
      <c r="HM17">
        <v>0</v>
      </c>
      <c r="HN17">
        <v>0</v>
      </c>
    </row>
    <row r="18" spans="1:222" ht="14.4" x14ac:dyDescent="0.35">
      <c r="A18" s="140" t="s">
        <v>189</v>
      </c>
      <c r="B18" s="141"/>
      <c r="C18" s="140" t="s">
        <v>190</v>
      </c>
      <c r="D18" s="141"/>
      <c r="E18" s="24" t="s">
        <v>191</v>
      </c>
      <c r="F18" s="15"/>
      <c r="G18" s="22"/>
      <c r="H18" s="23"/>
      <c r="I18" s="13"/>
      <c r="J18" s="13"/>
      <c r="K18"/>
      <c r="L18"/>
      <c r="EY18" s="119" t="s">
        <v>718</v>
      </c>
      <c r="EZ18">
        <v>277</v>
      </c>
      <c r="FA18">
        <v>291</v>
      </c>
      <c r="FB18"/>
      <c r="FC18"/>
      <c r="FD18"/>
      <c r="FE18"/>
      <c r="FF18"/>
      <c r="FG18"/>
      <c r="FH18"/>
      <c r="FI18"/>
      <c r="FJ18"/>
      <c r="FK18"/>
      <c r="FL18"/>
      <c r="FM18"/>
      <c r="FN18"/>
      <c r="FO18"/>
      <c r="FP18"/>
      <c r="FQ18" s="119" t="s">
        <v>702</v>
      </c>
      <c r="FR18">
        <v>0</v>
      </c>
      <c r="FS18">
        <v>1</v>
      </c>
      <c r="FT18">
        <v>1</v>
      </c>
      <c r="FU18"/>
      <c r="FV18"/>
      <c r="FW18"/>
      <c r="FX18"/>
      <c r="FY18"/>
      <c r="FZ18"/>
      <c r="GA18"/>
      <c r="GB18"/>
      <c r="GC18"/>
      <c r="GD18"/>
      <c r="GE18"/>
      <c r="GF18"/>
      <c r="GG18"/>
      <c r="GH18"/>
      <c r="GI18"/>
      <c r="GJ18"/>
      <c r="GK18"/>
      <c r="GL18"/>
      <c r="GM18"/>
      <c r="HK18" s="119" t="s">
        <v>529</v>
      </c>
      <c r="HL18">
        <v>123</v>
      </c>
      <c r="HM18">
        <v>0</v>
      </c>
      <c r="HN18">
        <v>2</v>
      </c>
    </row>
    <row r="19" spans="1:222" ht="14.4" x14ac:dyDescent="0.35">
      <c r="A19" s="142" t="e" vm="1">
        <v>#VALUE!</v>
      </c>
      <c r="B19" s="143"/>
      <c r="C19" s="143"/>
      <c r="D19" s="143"/>
      <c r="E19" s="144"/>
      <c r="F19" s="15"/>
      <c r="G19" s="22"/>
      <c r="H19" s="23"/>
      <c r="I19" s="13"/>
      <c r="J19" s="13"/>
      <c r="AV19"/>
      <c r="AW19"/>
      <c r="AX19"/>
      <c r="AY19"/>
      <c r="AZ19"/>
      <c r="EY19" s="119" t="s">
        <v>719</v>
      </c>
      <c r="EZ19">
        <v>265</v>
      </c>
      <c r="FA19">
        <v>278</v>
      </c>
      <c r="FB19"/>
      <c r="FC19"/>
      <c r="FD19"/>
      <c r="FE19"/>
      <c r="FF19"/>
      <c r="FG19"/>
      <c r="FH19"/>
      <c r="FI19"/>
      <c r="FJ19"/>
      <c r="FK19"/>
      <c r="FL19"/>
      <c r="FM19"/>
      <c r="FN19"/>
      <c r="FO19"/>
      <c r="FP19"/>
      <c r="FQ19" s="119" t="s">
        <v>703</v>
      </c>
      <c r="FR19">
        <v>0</v>
      </c>
      <c r="FS19">
        <v>2</v>
      </c>
      <c r="FT19">
        <v>2</v>
      </c>
      <c r="FU19"/>
      <c r="FV19"/>
      <c r="FW19"/>
      <c r="FX19"/>
      <c r="FY19"/>
      <c r="FZ19"/>
      <c r="GA19"/>
      <c r="GB19"/>
      <c r="GC19"/>
      <c r="GD19"/>
      <c r="GE19"/>
      <c r="GF19"/>
      <c r="GG19"/>
      <c r="GH19"/>
      <c r="GI19"/>
      <c r="GJ19"/>
      <c r="GK19"/>
      <c r="GL19"/>
      <c r="GM19"/>
      <c r="HK19"/>
      <c r="HL19"/>
      <c r="HM19"/>
      <c r="HN19"/>
    </row>
    <row r="20" spans="1:222" ht="14.4" x14ac:dyDescent="0.35">
      <c r="A20" s="111"/>
      <c r="B20" s="112"/>
      <c r="C20" s="112"/>
      <c r="D20" s="112"/>
      <c r="E20" s="112"/>
      <c r="F20" s="15"/>
      <c r="G20" s="22"/>
      <c r="H20" s="23"/>
      <c r="I20" s="13"/>
      <c r="J20" s="13"/>
      <c r="K20"/>
      <c r="L20"/>
      <c r="M20"/>
      <c r="N20"/>
      <c r="O20"/>
      <c r="P20"/>
      <c r="Q20"/>
      <c r="R20"/>
      <c r="S20"/>
      <c r="T20"/>
      <c r="U20"/>
      <c r="V20"/>
      <c r="AV20"/>
      <c r="AW20"/>
      <c r="AX20"/>
      <c r="AY20"/>
      <c r="AZ20"/>
      <c r="EY20" s="119" t="s">
        <v>720</v>
      </c>
      <c r="EZ20">
        <v>264</v>
      </c>
      <c r="FA20">
        <v>271</v>
      </c>
      <c r="FB20"/>
      <c r="FC20"/>
      <c r="FD20"/>
      <c r="FE20"/>
      <c r="FF20"/>
      <c r="FG20"/>
      <c r="FH20"/>
      <c r="FI20"/>
      <c r="FJ20"/>
      <c r="FK20"/>
      <c r="FL20"/>
      <c r="FM20"/>
      <c r="FN20"/>
      <c r="FO20"/>
      <c r="FP20"/>
      <c r="FQ20" s="119" t="s">
        <v>704</v>
      </c>
      <c r="FR20">
        <v>0</v>
      </c>
      <c r="FS20">
        <v>3</v>
      </c>
      <c r="FT20">
        <v>3</v>
      </c>
      <c r="FU20"/>
      <c r="FV20"/>
      <c r="FW20"/>
      <c r="FX20"/>
      <c r="FY20"/>
      <c r="FZ20"/>
      <c r="GA20"/>
      <c r="GB20"/>
      <c r="GC20"/>
      <c r="GD20"/>
      <c r="GE20"/>
      <c r="GF20"/>
      <c r="GG20"/>
      <c r="GH20"/>
      <c r="GI20"/>
      <c r="GJ20"/>
      <c r="GK20"/>
      <c r="GL20"/>
      <c r="GM20"/>
      <c r="HK20"/>
      <c r="HL20"/>
      <c r="HM20"/>
      <c r="HN20"/>
    </row>
    <row r="21" spans="1:222" ht="14.4" hidden="1" x14ac:dyDescent="0.35">
      <c r="A21" s="111"/>
      <c r="B21" s="112"/>
      <c r="C21" s="112"/>
      <c r="D21" s="112"/>
      <c r="E21" s="112"/>
      <c r="F21" s="15"/>
      <c r="G21" s="22"/>
      <c r="H21" s="23"/>
      <c r="I21" s="13"/>
      <c r="J21" s="13"/>
      <c r="K21"/>
      <c r="L21"/>
      <c r="M21"/>
      <c r="N21"/>
      <c r="O21"/>
      <c r="P21"/>
      <c r="Q21"/>
      <c r="R21"/>
      <c r="S21"/>
      <c r="T21"/>
      <c r="U21"/>
      <c r="V21"/>
      <c r="AV21"/>
      <c r="AW21"/>
      <c r="AX21"/>
      <c r="AY21"/>
      <c r="AZ21"/>
      <c r="EY21" s="119" t="s">
        <v>721</v>
      </c>
      <c r="EZ21">
        <v>233</v>
      </c>
      <c r="FA21">
        <v>252</v>
      </c>
      <c r="FB21"/>
      <c r="FC21"/>
      <c r="FD21"/>
      <c r="FE21"/>
      <c r="FF21"/>
      <c r="FG21"/>
      <c r="FH21"/>
      <c r="FI21"/>
      <c r="FJ21"/>
      <c r="FK21"/>
      <c r="FL21"/>
      <c r="FM21"/>
      <c r="FN21"/>
      <c r="FO21"/>
      <c r="FP21"/>
      <c r="FQ21" s="119" t="s">
        <v>705</v>
      </c>
      <c r="FR21">
        <v>0</v>
      </c>
      <c r="FS21">
        <v>3</v>
      </c>
      <c r="FT21">
        <v>3</v>
      </c>
      <c r="FU21"/>
      <c r="FV21"/>
      <c r="FW21"/>
      <c r="FX21"/>
      <c r="FY21"/>
      <c r="FZ21"/>
      <c r="GA21"/>
      <c r="GB21"/>
      <c r="GC21"/>
      <c r="GD21"/>
      <c r="GE21"/>
      <c r="GF21"/>
      <c r="GG21"/>
      <c r="GH21"/>
      <c r="GI21"/>
      <c r="GJ21"/>
      <c r="GK21"/>
      <c r="GL21"/>
      <c r="GM21"/>
      <c r="HK21"/>
      <c r="HL21"/>
      <c r="HM21"/>
      <c r="HN21"/>
    </row>
    <row r="22" spans="1:222" ht="14.4" hidden="1" x14ac:dyDescent="0.35">
      <c r="A22" s="111"/>
      <c r="B22" s="112"/>
      <c r="C22" s="112"/>
      <c r="D22" s="112"/>
      <c r="E22" s="112"/>
      <c r="F22" s="15"/>
      <c r="G22" s="22"/>
      <c r="H22" s="23"/>
      <c r="I22" s="13"/>
      <c r="J22" s="13"/>
      <c r="K22"/>
      <c r="L22"/>
      <c r="M22"/>
      <c r="N22"/>
      <c r="O22"/>
      <c r="P22"/>
      <c r="Q22"/>
      <c r="R22"/>
      <c r="S22"/>
      <c r="T22"/>
      <c r="U22"/>
      <c r="V22"/>
      <c r="AV22"/>
      <c r="AW22"/>
      <c r="AX22"/>
      <c r="AY22"/>
      <c r="AZ22"/>
      <c r="EY22" s="119" t="s">
        <v>722</v>
      </c>
      <c r="EZ22">
        <v>196</v>
      </c>
      <c r="FA22">
        <v>224</v>
      </c>
      <c r="FB22"/>
      <c r="FC22"/>
      <c r="FD22"/>
      <c r="FE22"/>
      <c r="FF22"/>
      <c r="FG22"/>
      <c r="FH22"/>
      <c r="FI22"/>
      <c r="FJ22"/>
      <c r="FK22"/>
      <c r="FL22"/>
      <c r="FM22"/>
      <c r="FN22"/>
      <c r="FO22"/>
      <c r="FP22"/>
      <c r="FQ22" s="119" t="s">
        <v>706</v>
      </c>
      <c r="FR22">
        <v>0</v>
      </c>
      <c r="FS22">
        <v>6</v>
      </c>
      <c r="FT22">
        <v>6</v>
      </c>
      <c r="FU22"/>
      <c r="FV22"/>
      <c r="FW22"/>
      <c r="FX22"/>
      <c r="FY22"/>
      <c r="FZ22"/>
      <c r="GA22"/>
      <c r="GB22"/>
      <c r="GC22"/>
      <c r="GD22"/>
      <c r="GE22"/>
      <c r="GF22"/>
      <c r="GG22"/>
      <c r="GH22"/>
      <c r="GI22"/>
      <c r="GJ22"/>
      <c r="GK22"/>
      <c r="GL22"/>
      <c r="GM22"/>
      <c r="HK22"/>
      <c r="HL22"/>
      <c r="HM22"/>
      <c r="HN22"/>
    </row>
    <row r="23" spans="1:222" ht="14.4" hidden="1" x14ac:dyDescent="0.35">
      <c r="A23" s="113"/>
      <c r="B23" s="114"/>
      <c r="C23" s="114"/>
      <c r="D23" s="114"/>
      <c r="E23" s="114"/>
      <c r="F23" s="15"/>
      <c r="G23" s="15"/>
      <c r="H23" s="16"/>
      <c r="K23"/>
      <c r="L23"/>
      <c r="M23"/>
      <c r="N23"/>
      <c r="O23"/>
      <c r="P23"/>
      <c r="Q23"/>
      <c r="R23"/>
      <c r="S23"/>
      <c r="T23"/>
      <c r="U23"/>
      <c r="V23"/>
      <c r="AV23"/>
      <c r="AW23"/>
      <c r="AX23"/>
      <c r="AY23"/>
      <c r="AZ23"/>
      <c r="EY23" s="119" t="s">
        <v>723</v>
      </c>
      <c r="EZ23">
        <v>188</v>
      </c>
      <c r="FA23">
        <v>206</v>
      </c>
      <c r="FB23"/>
      <c r="FC23"/>
      <c r="FD23"/>
      <c r="FE23"/>
      <c r="FF23"/>
      <c r="FG23"/>
      <c r="FH23"/>
      <c r="FI23"/>
      <c r="FJ23"/>
      <c r="FK23"/>
      <c r="FL23"/>
      <c r="FM23"/>
      <c r="FN23"/>
      <c r="FO23"/>
      <c r="FP23"/>
      <c r="FQ23" s="119" t="s">
        <v>707</v>
      </c>
      <c r="FR23">
        <v>0</v>
      </c>
      <c r="FS23">
        <v>3</v>
      </c>
      <c r="FT23">
        <v>3</v>
      </c>
      <c r="FU23"/>
      <c r="FV23"/>
      <c r="FW23"/>
      <c r="FX23"/>
      <c r="FY23"/>
      <c r="FZ23"/>
      <c r="GA23"/>
      <c r="GB23"/>
      <c r="GC23"/>
      <c r="GD23"/>
      <c r="GE23"/>
      <c r="GF23"/>
      <c r="GG23"/>
      <c r="GH23"/>
      <c r="GI23"/>
      <c r="GJ23"/>
      <c r="GK23"/>
      <c r="GL23"/>
      <c r="GM23"/>
      <c r="HK23"/>
      <c r="HL23"/>
      <c r="HM23"/>
      <c r="HN23"/>
    </row>
    <row r="24" spans="1:222" ht="14.4" x14ac:dyDescent="0.35">
      <c r="A24" s="129" t="s">
        <v>167</v>
      </c>
      <c r="B24" s="129"/>
      <c r="C24" s="15"/>
      <c r="D24" s="22"/>
      <c r="E24" s="22"/>
      <c r="F24" s="15"/>
      <c r="G24" s="15"/>
      <c r="H24" s="16"/>
      <c r="K24"/>
      <c r="L24"/>
      <c r="M24"/>
      <c r="N24"/>
      <c r="O24"/>
      <c r="P24"/>
      <c r="Q24"/>
      <c r="R24"/>
      <c r="S24"/>
      <c r="T24"/>
      <c r="U24"/>
      <c r="V24"/>
      <c r="AV24"/>
      <c r="AW24"/>
      <c r="AX24"/>
      <c r="AY24"/>
      <c r="AZ24"/>
      <c r="EY24" s="119" t="s">
        <v>724</v>
      </c>
      <c r="EZ24">
        <v>130</v>
      </c>
      <c r="FA24">
        <v>168</v>
      </c>
      <c r="FB24"/>
      <c r="FC24"/>
      <c r="FD24"/>
      <c r="FE24"/>
      <c r="FF24"/>
      <c r="FG24"/>
      <c r="FH24"/>
      <c r="FI24"/>
      <c r="FJ24"/>
      <c r="FK24"/>
      <c r="FL24"/>
      <c r="FM24"/>
      <c r="FN24"/>
      <c r="FO24"/>
      <c r="FP24"/>
      <c r="FQ24" s="119" t="s">
        <v>708</v>
      </c>
      <c r="FR24">
        <v>0</v>
      </c>
      <c r="FS24">
        <v>2</v>
      </c>
      <c r="FT24">
        <v>2</v>
      </c>
      <c r="FU24"/>
      <c r="FV24"/>
      <c r="FW24"/>
      <c r="FX24"/>
      <c r="FY24"/>
      <c r="FZ24"/>
      <c r="GA24"/>
      <c r="GB24"/>
      <c r="GC24"/>
      <c r="GD24"/>
      <c r="GE24"/>
      <c r="GF24"/>
      <c r="GG24"/>
      <c r="GH24"/>
      <c r="GI24"/>
      <c r="GJ24"/>
      <c r="GK24"/>
      <c r="GL24"/>
      <c r="GM24"/>
      <c r="HK24"/>
      <c r="HL24"/>
      <c r="HM24"/>
      <c r="HN24"/>
    </row>
    <row r="25" spans="1:222" ht="14.4" x14ac:dyDescent="0.35">
      <c r="A25" s="26" t="str" cm="1">
        <f t="array" aca="1" ref="A25:B29" ca="1">_xlfn._xlws.FILTER(INDIRECT("'Target Schedule'!A:B"), INDIRECT("'Target Schedule'!A:A")&lt;&gt;0)</f>
        <v>Cycle / Sprint</v>
      </c>
      <c r="B25" s="26" t="str">
        <f ca="1"/>
        <v>Planned Start</v>
      </c>
      <c r="C25" s="27" t="s">
        <v>108</v>
      </c>
      <c r="D25" s="26" t="str" cm="1">
        <f t="array" aca="1" ref="D25:D29" ca="1">_xlfn._xlws.FILTER(INDIRECT("'Target Schedule'!D:D"), INDIRECT("'Target Schedule'!A:A")&lt;&gt;0)</f>
        <v>Planned End</v>
      </c>
      <c r="E25" s="27" t="s">
        <v>110</v>
      </c>
      <c r="F25" s="15"/>
      <c r="G25" s="15"/>
      <c r="H25" s="16"/>
      <c r="K25"/>
      <c r="L25"/>
      <c r="M25"/>
      <c r="N25"/>
      <c r="O25"/>
      <c r="P25"/>
      <c r="Q25"/>
      <c r="R25"/>
      <c r="S25"/>
      <c r="T25"/>
      <c r="U25"/>
      <c r="V25"/>
      <c r="AV25"/>
      <c r="AW25"/>
      <c r="AX25"/>
      <c r="AY25"/>
      <c r="AZ25"/>
      <c r="EY25" s="119" t="s">
        <v>725</v>
      </c>
      <c r="EZ25">
        <v>60</v>
      </c>
      <c r="FA25">
        <v>114</v>
      </c>
      <c r="FB25"/>
      <c r="FC25"/>
      <c r="FD25"/>
      <c r="FE25"/>
      <c r="FF25"/>
      <c r="FG25"/>
      <c r="FH25"/>
      <c r="FI25"/>
      <c r="FJ25"/>
      <c r="FK25"/>
      <c r="FL25"/>
      <c r="FM25"/>
      <c r="FN25"/>
      <c r="FO25"/>
      <c r="FP25"/>
      <c r="FQ25" s="119" t="s">
        <v>709</v>
      </c>
      <c r="FR25">
        <v>0</v>
      </c>
      <c r="FS25">
        <v>2</v>
      </c>
      <c r="FT25">
        <v>2</v>
      </c>
      <c r="FU25"/>
      <c r="FV25"/>
      <c r="FW25"/>
      <c r="FX25"/>
      <c r="FY25"/>
      <c r="FZ25"/>
      <c r="GA25"/>
      <c r="GB25"/>
      <c r="GC25"/>
      <c r="GD25"/>
      <c r="GE25"/>
      <c r="GF25"/>
      <c r="GG25"/>
      <c r="GH25"/>
      <c r="GI25"/>
      <c r="GJ25"/>
      <c r="GK25"/>
      <c r="GL25"/>
      <c r="GM25"/>
      <c r="HK25"/>
      <c r="HL25"/>
      <c r="HM25"/>
      <c r="HN25"/>
    </row>
    <row r="26" spans="1:222" ht="14.4" x14ac:dyDescent="0.35">
      <c r="A26" s="14" t="str">
        <f ca="1"/>
        <v>SIT Cycle 1</v>
      </c>
      <c r="B26" s="70">
        <f ca="1"/>
        <v>45754</v>
      </c>
      <c r="C26" s="70">
        <v>45754</v>
      </c>
      <c r="D26" s="70">
        <f ca="1"/>
        <v>45779</v>
      </c>
      <c r="E26" s="70">
        <v>45779</v>
      </c>
      <c r="F26" s="22"/>
      <c r="G26" s="22"/>
      <c r="H26" s="23"/>
      <c r="K26"/>
      <c r="L26"/>
      <c r="M26"/>
      <c r="N26"/>
      <c r="O26"/>
      <c r="P26"/>
      <c r="Q26"/>
      <c r="R26"/>
      <c r="S26"/>
      <c r="T26"/>
      <c r="U26"/>
      <c r="V26"/>
      <c r="AV26"/>
      <c r="AW26"/>
      <c r="AX26"/>
      <c r="AY26"/>
      <c r="AZ26"/>
      <c r="EY26" s="119" t="s">
        <v>726</v>
      </c>
      <c r="EZ26">
        <v>58</v>
      </c>
      <c r="FA26">
        <v>86</v>
      </c>
      <c r="FB26"/>
      <c r="FC26"/>
      <c r="FD26"/>
      <c r="FE26"/>
      <c r="FF26"/>
      <c r="FG26"/>
      <c r="FH26"/>
      <c r="FI26"/>
      <c r="FJ26"/>
      <c r="FK26"/>
      <c r="FL26"/>
      <c r="FM26"/>
      <c r="FN26"/>
      <c r="FO26"/>
      <c r="FP26"/>
      <c r="FQ26" s="119" t="s">
        <v>710</v>
      </c>
      <c r="FR26">
        <v>0</v>
      </c>
      <c r="FS26">
        <v>1</v>
      </c>
      <c r="FT26">
        <v>1</v>
      </c>
      <c r="FU26"/>
      <c r="FV26"/>
      <c r="FW26"/>
      <c r="FX26"/>
      <c r="FY26"/>
      <c r="FZ26"/>
      <c r="GA26"/>
      <c r="GB26"/>
      <c r="GC26"/>
      <c r="GD26"/>
      <c r="GE26"/>
      <c r="GF26"/>
      <c r="GG26"/>
      <c r="GH26"/>
      <c r="GI26"/>
      <c r="GJ26"/>
      <c r="GK26"/>
      <c r="GL26"/>
      <c r="GM26"/>
      <c r="HK26"/>
      <c r="HL26"/>
      <c r="HM26"/>
      <c r="HN26"/>
    </row>
    <row r="27" spans="1:222" ht="14.4" x14ac:dyDescent="0.35">
      <c r="A27" s="28" t="str">
        <f ca="1"/>
        <v>SIT Cycle 2</v>
      </c>
      <c r="B27" s="71">
        <f ca="1"/>
        <v>45782</v>
      </c>
      <c r="C27" s="70">
        <v>45782</v>
      </c>
      <c r="D27" s="70">
        <f ca="1"/>
        <v>45812</v>
      </c>
      <c r="E27" s="70">
        <v>45812</v>
      </c>
      <c r="F27" s="22"/>
      <c r="G27" s="22"/>
      <c r="H27" s="23"/>
      <c r="K27"/>
      <c r="L27"/>
      <c r="M27"/>
      <c r="N27"/>
      <c r="O27"/>
      <c r="P27"/>
      <c r="Q27"/>
      <c r="R27"/>
      <c r="S27"/>
      <c r="T27"/>
      <c r="U27"/>
      <c r="V27"/>
      <c r="AV27"/>
      <c r="AW27"/>
      <c r="AX27"/>
      <c r="AY27"/>
      <c r="AZ27"/>
      <c r="EY27" s="119" t="s">
        <v>727</v>
      </c>
      <c r="EZ27">
        <v>16</v>
      </c>
      <c r="FA27">
        <v>51</v>
      </c>
      <c r="FB27"/>
      <c r="FC27"/>
      <c r="FD27"/>
      <c r="FE27"/>
      <c r="FF27"/>
      <c r="FG27"/>
      <c r="FH27"/>
      <c r="FI27"/>
      <c r="FJ27"/>
      <c r="FK27"/>
      <c r="FL27"/>
      <c r="FM27"/>
      <c r="FN27"/>
      <c r="FO27"/>
      <c r="FP27"/>
      <c r="FQ27" s="119" t="s">
        <v>711</v>
      </c>
      <c r="FR27">
        <v>0</v>
      </c>
      <c r="FS27">
        <v>2</v>
      </c>
      <c r="FT27">
        <v>2</v>
      </c>
      <c r="FU27"/>
      <c r="FV27"/>
      <c r="FW27"/>
      <c r="FX27"/>
      <c r="FY27"/>
      <c r="FZ27"/>
      <c r="GA27"/>
      <c r="GB27"/>
      <c r="GC27"/>
      <c r="GD27"/>
      <c r="GE27"/>
      <c r="GF27"/>
      <c r="GG27"/>
      <c r="GH27"/>
      <c r="GI27"/>
      <c r="GJ27"/>
      <c r="GK27"/>
      <c r="GL27"/>
      <c r="GM27"/>
      <c r="HK27"/>
      <c r="HL27"/>
      <c r="HM27"/>
      <c r="HN27"/>
    </row>
    <row r="28" spans="1:222" ht="14.4" x14ac:dyDescent="0.35">
      <c r="A28" s="28" t="str">
        <f ca="1"/>
        <v>UAT Cycle 1</v>
      </c>
      <c r="B28" s="70">
        <f ca="1"/>
        <v>45813</v>
      </c>
      <c r="C28" s="70">
        <v>45813</v>
      </c>
      <c r="D28" s="70">
        <f ca="1"/>
        <v>45833</v>
      </c>
      <c r="E28" s="70">
        <v>45833</v>
      </c>
      <c r="F28" s="22"/>
      <c r="G28" s="22"/>
      <c r="H28" s="23"/>
      <c r="K28"/>
      <c r="L28"/>
      <c r="M28"/>
      <c r="N28"/>
      <c r="O28"/>
      <c r="P28"/>
      <c r="Q28"/>
      <c r="R28"/>
      <c r="S28"/>
      <c r="T28"/>
      <c r="U28"/>
      <c r="V28"/>
      <c r="AV28"/>
      <c r="AW28"/>
      <c r="AX28"/>
      <c r="AY28"/>
      <c r="AZ28"/>
      <c r="EY28" s="119" t="s">
        <v>728</v>
      </c>
      <c r="EZ28">
        <v>31</v>
      </c>
      <c r="FA28">
        <v>41</v>
      </c>
      <c r="FB28"/>
      <c r="FC28"/>
      <c r="FD28"/>
      <c r="FE28"/>
      <c r="FF28"/>
      <c r="FG28"/>
      <c r="FH28"/>
      <c r="FI28"/>
      <c r="FJ28"/>
      <c r="FK28"/>
      <c r="FL28"/>
      <c r="FM28"/>
      <c r="FN28"/>
      <c r="FO28"/>
      <c r="FP28"/>
      <c r="FQ28" s="119" t="s">
        <v>712</v>
      </c>
      <c r="FR28">
        <v>0</v>
      </c>
      <c r="FS28">
        <v>4</v>
      </c>
      <c r="FT28">
        <v>4</v>
      </c>
      <c r="FU28"/>
      <c r="FV28"/>
      <c r="FW28"/>
      <c r="FX28"/>
      <c r="FY28"/>
      <c r="FZ28"/>
      <c r="GA28"/>
      <c r="GB28"/>
      <c r="GC28"/>
      <c r="GD28"/>
      <c r="GE28"/>
      <c r="GF28"/>
      <c r="GG28"/>
      <c r="GH28"/>
      <c r="GI28"/>
      <c r="GJ28"/>
      <c r="GK28"/>
      <c r="GL28"/>
      <c r="GM28"/>
      <c r="HK28"/>
      <c r="HL28"/>
      <c r="HM28"/>
      <c r="HN28"/>
    </row>
    <row r="29" spans="1:222" ht="14.4" x14ac:dyDescent="0.35">
      <c r="A29" s="28" t="str">
        <f ca="1"/>
        <v>UAT Cycle 2</v>
      </c>
      <c r="B29" s="70">
        <f ca="1"/>
        <v>45834</v>
      </c>
      <c r="C29" s="70">
        <v>45834</v>
      </c>
      <c r="D29" s="70">
        <f ca="1"/>
        <v>45847</v>
      </c>
      <c r="E29" s="70">
        <v>45847</v>
      </c>
      <c r="F29" s="22"/>
      <c r="G29" s="22"/>
      <c r="H29" s="23"/>
      <c r="K29"/>
      <c r="L29"/>
      <c r="M29"/>
      <c r="N29"/>
      <c r="O29"/>
      <c r="P29"/>
      <c r="Q29"/>
      <c r="R29"/>
      <c r="S29"/>
      <c r="T29"/>
      <c r="U29"/>
      <c r="V29"/>
      <c r="AV29"/>
      <c r="AW29"/>
      <c r="AX29"/>
      <c r="AY29"/>
      <c r="AZ29"/>
      <c r="EY29" s="119" t="s">
        <v>752</v>
      </c>
      <c r="EZ29">
        <v>5</v>
      </c>
      <c r="FA29">
        <v>23</v>
      </c>
      <c r="FB29"/>
      <c r="FC29"/>
      <c r="FD29"/>
      <c r="FE29"/>
      <c r="FF29"/>
      <c r="FG29"/>
      <c r="FH29"/>
      <c r="FI29"/>
      <c r="FJ29"/>
      <c r="FK29"/>
      <c r="FL29"/>
      <c r="FM29"/>
      <c r="FN29"/>
      <c r="FO29"/>
      <c r="FP29"/>
      <c r="FQ29" s="119" t="s">
        <v>713</v>
      </c>
      <c r="FR29">
        <v>0</v>
      </c>
      <c r="FS29">
        <v>2</v>
      </c>
      <c r="FT29">
        <v>2</v>
      </c>
      <c r="FU29"/>
      <c r="FV29"/>
      <c r="FW29"/>
      <c r="FX29"/>
      <c r="FY29"/>
      <c r="FZ29"/>
      <c r="GA29"/>
      <c r="GB29"/>
      <c r="GC29"/>
      <c r="GD29"/>
      <c r="GE29"/>
      <c r="GF29"/>
      <c r="GG29"/>
      <c r="GH29"/>
      <c r="GI29"/>
      <c r="GJ29"/>
      <c r="GK29"/>
      <c r="GL29"/>
      <c r="GM29"/>
      <c r="HK29"/>
      <c r="HL29"/>
      <c r="HM29"/>
      <c r="HN29"/>
    </row>
    <row r="30" spans="1:222" ht="14.4" hidden="1" x14ac:dyDescent="0.35">
      <c r="A30" s="29"/>
      <c r="B30" s="70"/>
      <c r="C30" s="70"/>
      <c r="D30" s="70"/>
      <c r="E30" s="70"/>
      <c r="F30" s="15"/>
      <c r="G30" s="15"/>
      <c r="H30" s="16"/>
      <c r="K30"/>
      <c r="L30"/>
      <c r="M30"/>
      <c r="N30"/>
      <c r="O30"/>
      <c r="P30"/>
      <c r="Q30"/>
      <c r="R30"/>
      <c r="S30"/>
      <c r="T30"/>
      <c r="U30"/>
      <c r="V30"/>
      <c r="AV30"/>
      <c r="AW30"/>
      <c r="AX30"/>
      <c r="AY30"/>
      <c r="AZ30"/>
      <c r="EY30" s="119" t="s">
        <v>729</v>
      </c>
      <c r="EZ30">
        <v>11</v>
      </c>
      <c r="FA30">
        <v>17</v>
      </c>
      <c r="FB30"/>
      <c r="FC30"/>
      <c r="FD30"/>
      <c r="FE30"/>
      <c r="FF30"/>
      <c r="FG30"/>
      <c r="FH30"/>
      <c r="FI30"/>
      <c r="FJ30"/>
      <c r="FK30"/>
      <c r="FL30"/>
      <c r="FM30"/>
      <c r="FN30"/>
      <c r="FO30"/>
      <c r="FP30"/>
      <c r="FQ30" s="119" t="s">
        <v>714</v>
      </c>
      <c r="FR30">
        <v>0</v>
      </c>
      <c r="FS30">
        <v>2</v>
      </c>
      <c r="FT30">
        <v>2</v>
      </c>
      <c r="FU30"/>
      <c r="FV30"/>
      <c r="FW30"/>
      <c r="FX30"/>
      <c r="FY30"/>
      <c r="FZ30"/>
      <c r="GA30"/>
      <c r="GB30"/>
      <c r="GC30"/>
      <c r="GD30"/>
      <c r="GE30"/>
      <c r="GF30"/>
      <c r="GG30"/>
      <c r="GH30"/>
      <c r="GI30"/>
      <c r="GJ30"/>
      <c r="GK30"/>
      <c r="GL30"/>
      <c r="GM30"/>
    </row>
    <row r="31" spans="1:222" ht="14.4" hidden="1" x14ac:dyDescent="0.35">
      <c r="A31" s="29"/>
      <c r="B31" s="70"/>
      <c r="C31" s="70"/>
      <c r="D31" s="70"/>
      <c r="E31" s="70"/>
      <c r="F31" s="15"/>
      <c r="G31" s="15"/>
      <c r="H31" s="16"/>
      <c r="K31"/>
      <c r="L31"/>
      <c r="M31"/>
      <c r="N31"/>
      <c r="O31"/>
      <c r="P31"/>
      <c r="Q31"/>
      <c r="R31"/>
      <c r="S31"/>
      <c r="T31"/>
      <c r="U31"/>
      <c r="V31"/>
      <c r="AV31"/>
      <c r="AW31"/>
      <c r="AX31"/>
      <c r="AY31"/>
      <c r="AZ31"/>
      <c r="EY31" s="119" t="s">
        <v>730</v>
      </c>
      <c r="EZ31">
        <v>-15</v>
      </c>
      <c r="FA31">
        <v>1</v>
      </c>
      <c r="FB31"/>
      <c r="FC31"/>
      <c r="FD31"/>
      <c r="FE31"/>
      <c r="FF31"/>
      <c r="FG31"/>
      <c r="FH31"/>
      <c r="FI31"/>
      <c r="FJ31"/>
      <c r="FK31"/>
      <c r="FL31"/>
      <c r="FM31"/>
      <c r="FN31"/>
      <c r="FO31"/>
      <c r="FP31"/>
      <c r="FQ31" s="119" t="s">
        <v>715</v>
      </c>
      <c r="FR31">
        <v>0</v>
      </c>
      <c r="FS31">
        <v>1</v>
      </c>
      <c r="FT31">
        <v>1</v>
      </c>
      <c r="FU31"/>
      <c r="FV31"/>
      <c r="FW31"/>
      <c r="FX31"/>
      <c r="FY31"/>
      <c r="FZ31"/>
      <c r="GA31"/>
      <c r="GB31"/>
      <c r="GC31"/>
      <c r="GD31"/>
      <c r="GE31"/>
      <c r="GF31"/>
      <c r="GG31"/>
      <c r="GH31"/>
      <c r="GI31"/>
      <c r="GJ31"/>
      <c r="GK31"/>
      <c r="GL31"/>
      <c r="GM31"/>
    </row>
    <row r="32" spans="1:222" ht="14.4" hidden="1" x14ac:dyDescent="0.35">
      <c r="A32" s="29"/>
      <c r="B32" s="70"/>
      <c r="C32" s="70"/>
      <c r="D32" s="70"/>
      <c r="E32" s="70"/>
      <c r="F32" s="15"/>
      <c r="G32" s="15"/>
      <c r="H32" s="16"/>
      <c r="K32"/>
      <c r="L32"/>
      <c r="M32"/>
      <c r="N32"/>
      <c r="O32"/>
      <c r="P32"/>
      <c r="Q32"/>
      <c r="R32"/>
      <c r="S32"/>
      <c r="T32"/>
      <c r="U32"/>
      <c r="V32"/>
      <c r="AV32"/>
      <c r="AW32"/>
      <c r="AX32"/>
      <c r="AY32"/>
      <c r="AZ32"/>
      <c r="EY32"/>
      <c r="EZ32"/>
      <c r="FA32"/>
      <c r="FB32"/>
      <c r="FC32"/>
      <c r="FD32"/>
      <c r="FE32"/>
      <c r="FF32"/>
      <c r="FG32"/>
      <c r="FH32"/>
      <c r="FI32"/>
      <c r="FJ32"/>
      <c r="FK32"/>
      <c r="FL32"/>
      <c r="FM32"/>
      <c r="FN32"/>
      <c r="FO32"/>
      <c r="FP32"/>
      <c r="FQ32" s="119" t="s">
        <v>716</v>
      </c>
      <c r="FR32">
        <v>0</v>
      </c>
      <c r="FS32">
        <v>5</v>
      </c>
      <c r="FT32">
        <v>5</v>
      </c>
      <c r="FU32"/>
      <c r="FV32"/>
      <c r="FW32"/>
      <c r="FX32"/>
      <c r="FY32"/>
      <c r="FZ32"/>
      <c r="GA32"/>
      <c r="GB32"/>
      <c r="GC32"/>
      <c r="GD32"/>
      <c r="GE32"/>
      <c r="GF32"/>
      <c r="GG32"/>
      <c r="GH32"/>
      <c r="GI32"/>
      <c r="GJ32"/>
      <c r="GK32"/>
      <c r="GL32"/>
      <c r="GM32"/>
    </row>
    <row r="33" spans="1:195" ht="14.4" hidden="1" x14ac:dyDescent="0.35">
      <c r="A33" s="29"/>
      <c r="B33" s="70"/>
      <c r="C33" s="70"/>
      <c r="D33" s="70"/>
      <c r="E33" s="70"/>
      <c r="F33" s="15"/>
      <c r="G33" s="15"/>
      <c r="H33" s="16"/>
      <c r="K33"/>
      <c r="L33"/>
      <c r="M33"/>
      <c r="N33"/>
      <c r="O33"/>
      <c r="P33"/>
      <c r="Q33"/>
      <c r="R33"/>
      <c r="S33"/>
      <c r="T33"/>
      <c r="U33"/>
      <c r="V33"/>
      <c r="AV33"/>
      <c r="AW33"/>
      <c r="AX33"/>
      <c r="AY33"/>
      <c r="AZ33"/>
      <c r="EY33"/>
      <c r="EZ33"/>
      <c r="FA33"/>
      <c r="FB33"/>
      <c r="FC33"/>
      <c r="FD33"/>
      <c r="FE33"/>
      <c r="FF33"/>
      <c r="FG33"/>
      <c r="FH33"/>
      <c r="FI33"/>
      <c r="FJ33"/>
      <c r="FK33"/>
      <c r="FL33"/>
      <c r="FM33"/>
      <c r="FN33"/>
      <c r="FO33"/>
      <c r="FP33"/>
      <c r="FQ33" s="119" t="s">
        <v>717</v>
      </c>
      <c r="FR33">
        <v>0</v>
      </c>
      <c r="FS33">
        <v>2</v>
      </c>
      <c r="FT33">
        <v>2</v>
      </c>
      <c r="FU33"/>
      <c r="FV33"/>
      <c r="FW33"/>
      <c r="FX33"/>
      <c r="FY33"/>
      <c r="FZ33"/>
      <c r="GA33"/>
      <c r="GB33"/>
      <c r="GC33"/>
      <c r="GD33"/>
      <c r="GE33"/>
      <c r="GF33"/>
      <c r="GG33"/>
      <c r="GH33"/>
      <c r="GI33"/>
      <c r="GJ33"/>
      <c r="GK33"/>
      <c r="GL33"/>
      <c r="GM33"/>
    </row>
    <row r="34" spans="1:195" ht="14.4" hidden="1" x14ac:dyDescent="0.35">
      <c r="A34" s="29"/>
      <c r="B34" s="70"/>
      <c r="C34" s="70"/>
      <c r="D34" s="70"/>
      <c r="E34" s="70"/>
      <c r="F34" s="15"/>
      <c r="G34" s="15"/>
      <c r="H34" s="16"/>
      <c r="K34"/>
      <c r="L34"/>
      <c r="M34"/>
      <c r="N34"/>
      <c r="O34"/>
      <c r="P34"/>
      <c r="Q34"/>
      <c r="R34"/>
      <c r="S34"/>
      <c r="T34"/>
      <c r="U34"/>
      <c r="V34"/>
      <c r="AV34"/>
      <c r="AW34"/>
      <c r="AX34"/>
      <c r="AY34"/>
      <c r="AZ34"/>
      <c r="EY34"/>
      <c r="EZ34"/>
      <c r="FA34"/>
      <c r="FB34"/>
      <c r="FC34"/>
      <c r="FD34"/>
      <c r="FE34"/>
      <c r="FF34"/>
      <c r="FG34"/>
      <c r="FH34"/>
      <c r="FI34"/>
      <c r="FJ34"/>
      <c r="FK34"/>
      <c r="FL34"/>
      <c r="FM34"/>
      <c r="FN34"/>
      <c r="FO34"/>
      <c r="FP34"/>
      <c r="FQ34" s="119" t="s">
        <v>718</v>
      </c>
      <c r="FR34">
        <v>0</v>
      </c>
      <c r="FS34">
        <v>3</v>
      </c>
      <c r="FT34">
        <v>3</v>
      </c>
      <c r="FU34"/>
      <c r="FV34"/>
      <c r="FW34"/>
      <c r="FX34"/>
      <c r="FY34"/>
      <c r="FZ34"/>
      <c r="GA34"/>
      <c r="GB34"/>
      <c r="GC34"/>
      <c r="GD34"/>
      <c r="GE34"/>
      <c r="GF34"/>
      <c r="GG34"/>
      <c r="GH34"/>
      <c r="GI34"/>
      <c r="GJ34"/>
      <c r="GK34"/>
      <c r="GL34"/>
      <c r="GM34"/>
    </row>
    <row r="35" spans="1:195" ht="14.4" hidden="1" x14ac:dyDescent="0.35">
      <c r="A35" s="29"/>
      <c r="B35" s="70"/>
      <c r="C35" s="70"/>
      <c r="D35" s="70"/>
      <c r="E35" s="70"/>
      <c r="F35" s="15"/>
      <c r="G35" s="15"/>
      <c r="H35" s="16"/>
      <c r="K35"/>
      <c r="L35"/>
      <c r="M35"/>
      <c r="N35"/>
      <c r="O35"/>
      <c r="P35"/>
      <c r="Q35"/>
      <c r="R35"/>
      <c r="S35"/>
      <c r="T35"/>
      <c r="U35"/>
      <c r="V35"/>
      <c r="AV35"/>
      <c r="AW35"/>
      <c r="AX35"/>
      <c r="AY35"/>
      <c r="AZ35"/>
      <c r="EY35"/>
      <c r="EZ35"/>
      <c r="FA35"/>
      <c r="FB35"/>
      <c r="FC35"/>
      <c r="FD35"/>
      <c r="FE35"/>
      <c r="FF35"/>
      <c r="FG35"/>
      <c r="FH35"/>
      <c r="FI35"/>
      <c r="FJ35"/>
      <c r="FK35"/>
      <c r="FL35"/>
      <c r="FM35"/>
      <c r="FN35"/>
      <c r="FO35"/>
      <c r="FP35"/>
      <c r="FQ35" s="119" t="s">
        <v>719</v>
      </c>
      <c r="FR35">
        <v>0</v>
      </c>
      <c r="FS35">
        <v>1</v>
      </c>
      <c r="FT35">
        <v>1</v>
      </c>
      <c r="FU35"/>
      <c r="FV35"/>
      <c r="FW35"/>
      <c r="FX35"/>
      <c r="FY35"/>
      <c r="FZ35"/>
      <c r="GA35"/>
      <c r="GB35"/>
      <c r="GC35"/>
      <c r="GD35"/>
      <c r="GE35"/>
      <c r="GF35"/>
      <c r="GG35"/>
      <c r="GH35"/>
      <c r="GI35"/>
      <c r="GJ35"/>
      <c r="GK35"/>
      <c r="GL35"/>
      <c r="GM35"/>
    </row>
    <row r="36" spans="1:195" ht="14.4" hidden="1" x14ac:dyDescent="0.35">
      <c r="A36" s="29"/>
      <c r="B36" s="70"/>
      <c r="C36" s="70"/>
      <c r="D36" s="70"/>
      <c r="E36" s="70"/>
      <c r="F36" s="15"/>
      <c r="G36" s="15"/>
      <c r="H36" s="16"/>
      <c r="K36"/>
      <c r="L36"/>
      <c r="M36"/>
      <c r="N36"/>
      <c r="O36"/>
      <c r="P36"/>
      <c r="Q36"/>
      <c r="R36"/>
      <c r="S36"/>
      <c r="T36"/>
      <c r="U36"/>
      <c r="V36"/>
      <c r="AV36"/>
      <c r="AW36"/>
      <c r="AX36"/>
      <c r="AY36"/>
      <c r="AZ36"/>
      <c r="EY36"/>
      <c r="EZ36"/>
      <c r="FA36"/>
      <c r="FB36"/>
      <c r="FC36"/>
      <c r="FD36"/>
      <c r="FE36"/>
      <c r="FF36"/>
      <c r="FG36"/>
      <c r="FH36"/>
      <c r="FI36"/>
      <c r="FJ36"/>
      <c r="FK36"/>
      <c r="FL36"/>
      <c r="FM36"/>
      <c r="FN36"/>
      <c r="FO36"/>
      <c r="FP36"/>
      <c r="FQ36" s="119" t="s">
        <v>720</v>
      </c>
      <c r="FR36">
        <v>0</v>
      </c>
      <c r="FS36">
        <v>1</v>
      </c>
      <c r="FT36">
        <v>1</v>
      </c>
      <c r="FU36"/>
      <c r="FV36"/>
      <c r="FW36"/>
      <c r="FX36"/>
      <c r="FY36"/>
      <c r="FZ36"/>
      <c r="GA36"/>
      <c r="GB36"/>
      <c r="GC36"/>
      <c r="GD36"/>
      <c r="GE36"/>
      <c r="GF36"/>
      <c r="GG36"/>
      <c r="GH36"/>
      <c r="GI36"/>
      <c r="GJ36"/>
      <c r="GK36"/>
      <c r="GL36"/>
      <c r="GM36"/>
    </row>
    <row r="37" spans="1:195" ht="14.4" hidden="1" x14ac:dyDescent="0.35">
      <c r="A37" s="29"/>
      <c r="B37" s="70"/>
      <c r="C37" s="70"/>
      <c r="D37" s="70"/>
      <c r="E37" s="70"/>
      <c r="F37" s="15"/>
      <c r="G37" s="15"/>
      <c r="H37" s="16"/>
      <c r="K37"/>
      <c r="L37"/>
      <c r="M37"/>
      <c r="N37"/>
      <c r="O37"/>
      <c r="P37"/>
      <c r="Q37"/>
      <c r="R37"/>
      <c r="S37"/>
      <c r="T37"/>
      <c r="U37"/>
      <c r="V37"/>
      <c r="AV37"/>
      <c r="AW37"/>
      <c r="AX37"/>
      <c r="AY37"/>
      <c r="AZ37"/>
      <c r="EY37"/>
      <c r="EZ37"/>
      <c r="FA37"/>
      <c r="FB37"/>
      <c r="FC37"/>
      <c r="FD37"/>
      <c r="FE37"/>
      <c r="FF37"/>
      <c r="FG37"/>
      <c r="FH37"/>
      <c r="FI37"/>
      <c r="FJ37"/>
      <c r="FK37"/>
      <c r="FL37"/>
      <c r="FM37"/>
      <c r="FN37"/>
      <c r="FO37"/>
      <c r="FP37"/>
      <c r="FQ37" s="119" t="s">
        <v>721</v>
      </c>
      <c r="FR37">
        <v>0</v>
      </c>
      <c r="FS37">
        <v>4</v>
      </c>
      <c r="FT37">
        <v>4</v>
      </c>
      <c r="FU37"/>
      <c r="FV37"/>
      <c r="FW37"/>
      <c r="FX37"/>
      <c r="FY37"/>
      <c r="FZ37"/>
      <c r="GA37"/>
      <c r="GB37"/>
      <c r="GC37"/>
      <c r="GD37"/>
      <c r="GE37"/>
      <c r="GF37"/>
      <c r="GG37"/>
      <c r="GH37"/>
      <c r="GI37"/>
      <c r="GJ37"/>
      <c r="GK37"/>
      <c r="GL37"/>
      <c r="GM37"/>
    </row>
    <row r="38" spans="1:195" ht="14.4" hidden="1" x14ac:dyDescent="0.35">
      <c r="A38" s="29"/>
      <c r="B38" s="70"/>
      <c r="C38" s="70"/>
      <c r="D38" s="70"/>
      <c r="E38" s="70"/>
      <c r="F38" s="15"/>
      <c r="G38" s="15"/>
      <c r="H38" s="16"/>
      <c r="K38"/>
      <c r="L38"/>
      <c r="M38"/>
      <c r="N38"/>
      <c r="O38"/>
      <c r="P38"/>
      <c r="Q38"/>
      <c r="R38"/>
      <c r="S38"/>
      <c r="T38"/>
      <c r="U38"/>
      <c r="V38"/>
      <c r="AV38"/>
      <c r="AW38"/>
      <c r="AX38"/>
      <c r="AY38"/>
      <c r="AZ38"/>
      <c r="EY38"/>
      <c r="EZ38"/>
      <c r="FA38"/>
      <c r="FB38"/>
      <c r="FC38"/>
      <c r="FD38"/>
      <c r="FE38"/>
      <c r="FF38"/>
      <c r="FG38"/>
      <c r="FH38"/>
      <c r="FI38"/>
      <c r="FJ38"/>
      <c r="FK38"/>
      <c r="FL38"/>
      <c r="FM38"/>
      <c r="FN38"/>
      <c r="FO38"/>
      <c r="FP38"/>
      <c r="FQ38" s="119" t="s">
        <v>722</v>
      </c>
      <c r="FR38">
        <v>0</v>
      </c>
      <c r="FS38">
        <v>3</v>
      </c>
      <c r="FT38">
        <v>3</v>
      </c>
      <c r="FU38"/>
      <c r="FV38"/>
      <c r="FW38"/>
      <c r="FX38"/>
      <c r="FY38"/>
      <c r="FZ38"/>
      <c r="GA38"/>
      <c r="GB38"/>
      <c r="GC38"/>
      <c r="GD38"/>
      <c r="GE38"/>
      <c r="GF38"/>
      <c r="GG38"/>
      <c r="GH38"/>
      <c r="GI38"/>
      <c r="GJ38"/>
      <c r="GK38"/>
      <c r="GL38"/>
      <c r="GM38"/>
    </row>
    <row r="39" spans="1:195" ht="14.4" hidden="1" x14ac:dyDescent="0.35">
      <c r="A39" s="28"/>
      <c r="B39" s="70"/>
      <c r="C39" s="70"/>
      <c r="D39" s="70"/>
      <c r="E39" s="70"/>
      <c r="F39" s="15"/>
      <c r="G39" s="15"/>
      <c r="H39" s="16"/>
      <c r="K39"/>
      <c r="L39"/>
      <c r="M39"/>
      <c r="N39"/>
      <c r="O39"/>
      <c r="P39"/>
      <c r="Q39"/>
      <c r="R39"/>
      <c r="S39"/>
      <c r="T39"/>
      <c r="U39"/>
      <c r="V39"/>
      <c r="AV39"/>
      <c r="AW39"/>
      <c r="AX39"/>
      <c r="AY39"/>
      <c r="AZ39"/>
      <c r="EY39"/>
      <c r="EZ39"/>
      <c r="FA39"/>
      <c r="FB39"/>
      <c r="FC39"/>
      <c r="FD39"/>
      <c r="FE39"/>
      <c r="FF39"/>
      <c r="FG39"/>
      <c r="FH39"/>
      <c r="FI39"/>
      <c r="FJ39"/>
      <c r="FK39"/>
      <c r="FL39"/>
      <c r="FM39"/>
      <c r="FN39"/>
      <c r="FO39"/>
      <c r="FP39"/>
      <c r="FQ39" s="119" t="s">
        <v>723</v>
      </c>
      <c r="FR39">
        <v>0</v>
      </c>
      <c r="FS39">
        <v>4</v>
      </c>
      <c r="FT39">
        <v>4</v>
      </c>
      <c r="FU39"/>
      <c r="FV39"/>
      <c r="FW39"/>
      <c r="FX39"/>
      <c r="FY39"/>
      <c r="FZ39"/>
      <c r="GA39"/>
      <c r="GB39"/>
      <c r="GC39"/>
      <c r="GD39"/>
      <c r="GE39"/>
      <c r="GF39"/>
      <c r="GG39"/>
      <c r="GH39"/>
      <c r="GI39"/>
      <c r="GJ39"/>
      <c r="GK39"/>
      <c r="GL39"/>
      <c r="GM39"/>
    </row>
    <row r="40" spans="1:195" ht="14.4" hidden="1" x14ac:dyDescent="0.35">
      <c r="A40" s="28"/>
      <c r="B40" s="70"/>
      <c r="C40" s="70"/>
      <c r="D40" s="70"/>
      <c r="E40" s="70"/>
      <c r="F40" s="15"/>
      <c r="G40" s="15"/>
      <c r="H40" s="16"/>
      <c r="K40"/>
      <c r="L40"/>
      <c r="M40"/>
      <c r="N40"/>
      <c r="O40"/>
      <c r="P40"/>
      <c r="Q40"/>
      <c r="R40"/>
      <c r="S40"/>
      <c r="T40"/>
      <c r="U40"/>
      <c r="V40"/>
      <c r="AV40"/>
      <c r="AW40"/>
      <c r="AX40"/>
      <c r="AY40"/>
      <c r="AZ40"/>
      <c r="EY40"/>
      <c r="EZ40"/>
      <c r="FA40"/>
      <c r="FB40"/>
      <c r="FC40"/>
      <c r="FD40"/>
      <c r="FE40"/>
      <c r="FF40"/>
      <c r="FG40"/>
      <c r="FH40"/>
      <c r="FI40"/>
      <c r="FJ40"/>
      <c r="FK40"/>
      <c r="FL40"/>
      <c r="FM40"/>
      <c r="FN40"/>
      <c r="FO40"/>
      <c r="FP40"/>
      <c r="FQ40" s="119" t="s">
        <v>724</v>
      </c>
      <c r="FR40">
        <v>0</v>
      </c>
      <c r="FS40">
        <v>2</v>
      </c>
      <c r="FT40">
        <v>2</v>
      </c>
      <c r="FU40"/>
      <c r="FV40"/>
      <c r="FW40"/>
      <c r="FX40"/>
      <c r="FY40"/>
      <c r="FZ40"/>
      <c r="GA40"/>
      <c r="GB40"/>
      <c r="GC40"/>
      <c r="GD40"/>
      <c r="GE40"/>
      <c r="GF40"/>
      <c r="GG40"/>
      <c r="GH40"/>
      <c r="GI40"/>
      <c r="GJ40"/>
      <c r="GK40"/>
      <c r="GL40"/>
      <c r="GM40"/>
    </row>
    <row r="41" spans="1:195" ht="14.4" hidden="1" x14ac:dyDescent="0.35">
      <c r="A41" s="28"/>
      <c r="B41" s="70"/>
      <c r="C41" s="70"/>
      <c r="D41" s="70"/>
      <c r="E41" s="70"/>
      <c r="F41" s="15"/>
      <c r="G41" s="15"/>
      <c r="H41" s="16"/>
      <c r="K41"/>
      <c r="L41"/>
      <c r="M41"/>
      <c r="N41"/>
      <c r="O41"/>
      <c r="P41"/>
      <c r="Q41"/>
      <c r="R41"/>
      <c r="S41"/>
      <c r="T41"/>
      <c r="U41"/>
      <c r="V41"/>
      <c r="AV41"/>
      <c r="AW41"/>
      <c r="AX41"/>
      <c r="AY41"/>
      <c r="AZ41"/>
      <c r="EY41"/>
      <c r="EZ41"/>
      <c r="FA41"/>
      <c r="FB41"/>
      <c r="FC41"/>
      <c r="FD41"/>
      <c r="FE41"/>
      <c r="FF41"/>
      <c r="FG41"/>
      <c r="FH41"/>
      <c r="FI41"/>
      <c r="FJ41"/>
      <c r="FK41"/>
      <c r="FL41"/>
      <c r="FM41"/>
      <c r="FN41"/>
      <c r="FO41"/>
      <c r="FP41"/>
      <c r="FQ41" s="119" t="s">
        <v>725</v>
      </c>
      <c r="FR41">
        <v>0</v>
      </c>
      <c r="FS41">
        <v>1</v>
      </c>
      <c r="FT41">
        <v>1</v>
      </c>
      <c r="FU41"/>
      <c r="FV41"/>
      <c r="FW41"/>
      <c r="FX41"/>
      <c r="FY41"/>
      <c r="FZ41"/>
      <c r="GA41"/>
      <c r="GB41"/>
      <c r="GC41"/>
      <c r="GD41"/>
      <c r="GE41"/>
      <c r="GF41"/>
      <c r="GG41"/>
      <c r="GH41"/>
      <c r="GI41"/>
      <c r="GJ41"/>
      <c r="GK41"/>
      <c r="GL41"/>
      <c r="GM41"/>
    </row>
    <row r="42" spans="1:195" ht="14.4" hidden="1" x14ac:dyDescent="0.35">
      <c r="A42" s="28"/>
      <c r="B42" s="70"/>
      <c r="C42" s="70"/>
      <c r="D42" s="70"/>
      <c r="E42" s="70"/>
      <c r="F42" s="15"/>
      <c r="G42" s="15"/>
      <c r="H42" s="16"/>
      <c r="K42"/>
      <c r="L42"/>
      <c r="M42"/>
      <c r="N42"/>
      <c r="O42"/>
      <c r="P42"/>
      <c r="Q42"/>
      <c r="R42"/>
      <c r="S42"/>
      <c r="T42"/>
      <c r="U42"/>
      <c r="V42"/>
      <c r="AV42"/>
      <c r="AW42"/>
      <c r="AX42"/>
      <c r="AY42"/>
      <c r="AZ42"/>
      <c r="EY42"/>
      <c r="EZ42"/>
      <c r="FA42"/>
      <c r="FB42"/>
      <c r="FC42"/>
      <c r="FD42"/>
      <c r="FE42"/>
      <c r="FF42"/>
      <c r="FG42"/>
      <c r="FH42"/>
      <c r="FI42"/>
      <c r="FJ42"/>
      <c r="FK42"/>
      <c r="FL42"/>
      <c r="FM42"/>
      <c r="FN42"/>
      <c r="FO42"/>
      <c r="FP42"/>
      <c r="FQ42" s="119" t="s">
        <v>726</v>
      </c>
      <c r="FR42">
        <v>0</v>
      </c>
      <c r="FS42">
        <v>3</v>
      </c>
      <c r="FT42">
        <v>3</v>
      </c>
      <c r="FU42"/>
      <c r="FV42"/>
      <c r="FW42"/>
      <c r="FX42"/>
      <c r="FY42"/>
      <c r="FZ42"/>
      <c r="GA42"/>
      <c r="GB42"/>
      <c r="GC42"/>
      <c r="GD42"/>
      <c r="GE42"/>
      <c r="GF42"/>
      <c r="GG42"/>
      <c r="GH42"/>
      <c r="GI42"/>
      <c r="GJ42"/>
      <c r="GK42"/>
      <c r="GL42"/>
      <c r="GM42"/>
    </row>
    <row r="43" spans="1:195" ht="14.4" hidden="1" x14ac:dyDescent="0.35">
      <c r="A43" s="28"/>
      <c r="B43" s="70"/>
      <c r="C43" s="70"/>
      <c r="D43" s="70"/>
      <c r="E43" s="70"/>
      <c r="F43" s="15"/>
      <c r="G43" s="15"/>
      <c r="H43" s="16"/>
      <c r="K43"/>
      <c r="L43"/>
      <c r="M43"/>
      <c r="N43"/>
      <c r="O43"/>
      <c r="P43"/>
      <c r="Q43"/>
      <c r="R43"/>
      <c r="S43"/>
      <c r="T43"/>
      <c r="U43"/>
      <c r="V43"/>
      <c r="AV43"/>
      <c r="AW43"/>
      <c r="AX43"/>
      <c r="AY43"/>
      <c r="AZ43"/>
      <c r="EY43"/>
      <c r="EZ43"/>
      <c r="FA43"/>
      <c r="FB43"/>
      <c r="FC43"/>
      <c r="FD43"/>
      <c r="FE43"/>
      <c r="FF43"/>
      <c r="FG43"/>
      <c r="FH43"/>
      <c r="FI43"/>
      <c r="FJ43"/>
      <c r="FK43"/>
      <c r="FL43"/>
      <c r="FM43"/>
      <c r="FN43"/>
      <c r="FO43"/>
      <c r="FP43"/>
      <c r="FQ43" s="119" t="s">
        <v>727</v>
      </c>
      <c r="FR43">
        <v>0</v>
      </c>
      <c r="FS43">
        <v>2</v>
      </c>
      <c r="FT43">
        <v>2</v>
      </c>
      <c r="FU43"/>
      <c r="FV43"/>
      <c r="FW43"/>
      <c r="FX43"/>
      <c r="FY43"/>
      <c r="FZ43"/>
      <c r="GA43"/>
      <c r="GB43"/>
      <c r="GC43"/>
      <c r="GD43"/>
      <c r="GE43"/>
      <c r="GF43"/>
      <c r="GG43"/>
      <c r="GH43"/>
      <c r="GI43"/>
      <c r="GJ43"/>
      <c r="GK43"/>
      <c r="GL43"/>
      <c r="GM43"/>
    </row>
    <row r="44" spans="1:195" ht="14.4" x14ac:dyDescent="0.35">
      <c r="A44" s="30" t="s">
        <v>168</v>
      </c>
      <c r="B44" s="31"/>
      <c r="C44" s="15"/>
      <c r="D44" s="15"/>
      <c r="E44" s="15"/>
      <c r="F44" s="15"/>
      <c r="G44" s="15"/>
      <c r="H44" s="16"/>
      <c r="K44"/>
      <c r="L44"/>
      <c r="M44"/>
      <c r="N44"/>
      <c r="O44"/>
      <c r="P44"/>
      <c r="Q44"/>
      <c r="R44"/>
      <c r="S44"/>
      <c r="T44"/>
      <c r="U44"/>
      <c r="V44"/>
      <c r="AV44"/>
      <c r="AW44"/>
      <c r="AX44"/>
      <c r="AY44"/>
      <c r="AZ44"/>
      <c r="EY44"/>
      <c r="EZ44"/>
      <c r="FA44"/>
      <c r="FB44"/>
      <c r="FC44"/>
      <c r="FD44"/>
      <c r="FE44"/>
      <c r="FF44"/>
      <c r="FG44"/>
      <c r="FH44"/>
      <c r="FI44"/>
      <c r="FJ44"/>
      <c r="FK44"/>
      <c r="FL44"/>
      <c r="FM44"/>
      <c r="FN44"/>
      <c r="FO44"/>
      <c r="FP44"/>
      <c r="FQ44" s="119" t="s">
        <v>728</v>
      </c>
      <c r="FR44">
        <v>0</v>
      </c>
      <c r="FS44">
        <v>2</v>
      </c>
      <c r="FT44">
        <v>2</v>
      </c>
      <c r="FU44"/>
      <c r="FV44"/>
      <c r="FW44"/>
      <c r="FX44"/>
      <c r="FY44"/>
      <c r="FZ44"/>
      <c r="GA44"/>
      <c r="GB44"/>
      <c r="GC44"/>
      <c r="GD44"/>
      <c r="GE44"/>
      <c r="GF44"/>
      <c r="GG44"/>
      <c r="GH44"/>
      <c r="GI44"/>
      <c r="GJ44"/>
      <c r="GK44"/>
      <c r="GL44"/>
      <c r="GM44"/>
    </row>
    <row r="45" spans="1:195" ht="14.4" x14ac:dyDescent="0.35">
      <c r="A45" s="25"/>
      <c r="B45" s="15"/>
      <c r="C45" s="15"/>
      <c r="D45" s="15"/>
      <c r="E45" s="15"/>
      <c r="F45" s="15"/>
      <c r="G45" s="15"/>
      <c r="H45" s="16"/>
      <c r="K45"/>
      <c r="L45"/>
      <c r="M45"/>
      <c r="N45"/>
      <c r="O45"/>
      <c r="P45"/>
      <c r="Q45"/>
      <c r="R45"/>
      <c r="S45"/>
      <c r="T45"/>
      <c r="U45"/>
      <c r="V45"/>
      <c r="AV45"/>
      <c r="AW45"/>
      <c r="AX45"/>
      <c r="AY45"/>
      <c r="AZ45"/>
      <c r="EY45"/>
      <c r="EZ45"/>
      <c r="FA45"/>
      <c r="FB45"/>
      <c r="FC45"/>
      <c r="FD45"/>
      <c r="FE45"/>
      <c r="FF45"/>
      <c r="FG45"/>
      <c r="FH45"/>
      <c r="FI45"/>
      <c r="FJ45"/>
      <c r="FK45"/>
      <c r="FL45"/>
      <c r="FM45"/>
      <c r="FN45"/>
      <c r="FO45"/>
      <c r="FP45"/>
      <c r="FQ45" s="119" t="s">
        <v>729</v>
      </c>
      <c r="FR45">
        <v>1</v>
      </c>
      <c r="FS45">
        <v>0</v>
      </c>
      <c r="FT45">
        <v>1</v>
      </c>
      <c r="FU45"/>
      <c r="FV45"/>
      <c r="FW45"/>
      <c r="FX45"/>
      <c r="FY45"/>
      <c r="FZ45"/>
      <c r="GA45"/>
      <c r="GB45"/>
      <c r="GC45"/>
      <c r="GD45"/>
      <c r="GE45"/>
      <c r="GF45"/>
      <c r="GG45"/>
      <c r="GH45"/>
      <c r="GI45"/>
      <c r="GJ45"/>
      <c r="GK45"/>
      <c r="GL45"/>
      <c r="GM45"/>
    </row>
    <row r="46" spans="1:195" ht="14.4" x14ac:dyDescent="0.35">
      <c r="A46" s="130" t="s">
        <v>169</v>
      </c>
      <c r="B46" s="130"/>
      <c r="C46" s="130"/>
      <c r="D46" s="15"/>
      <c r="E46" s="15"/>
      <c r="F46" s="15"/>
      <c r="G46" s="15"/>
      <c r="H46" s="16"/>
      <c r="K46"/>
      <c r="L46"/>
      <c r="M46"/>
      <c r="N46"/>
      <c r="O46"/>
      <c r="P46"/>
      <c r="Q46"/>
      <c r="R46"/>
      <c r="S46"/>
      <c r="T46"/>
      <c r="U46"/>
      <c r="V46"/>
      <c r="AV46"/>
      <c r="AW46"/>
      <c r="AX46"/>
      <c r="AY46"/>
      <c r="AZ46"/>
      <c r="EY46"/>
      <c r="EZ46"/>
      <c r="FA46"/>
      <c r="FB46"/>
      <c r="FC46"/>
      <c r="FD46"/>
      <c r="FE46"/>
      <c r="FF46"/>
      <c r="FG46"/>
      <c r="FH46"/>
      <c r="FI46"/>
      <c r="FJ46"/>
      <c r="FK46"/>
      <c r="FL46"/>
      <c r="FM46"/>
      <c r="FN46"/>
      <c r="FO46"/>
      <c r="FP46"/>
      <c r="FQ46" s="119" t="s">
        <v>730</v>
      </c>
      <c r="FR46">
        <v>0</v>
      </c>
      <c r="FS46">
        <v>2</v>
      </c>
      <c r="FT46">
        <v>2</v>
      </c>
      <c r="FU46"/>
      <c r="FV46"/>
      <c r="FW46"/>
      <c r="FX46"/>
      <c r="FY46"/>
      <c r="FZ46"/>
      <c r="GA46"/>
      <c r="GB46"/>
      <c r="GC46"/>
      <c r="GD46"/>
      <c r="GE46"/>
      <c r="GF46"/>
      <c r="GG46"/>
      <c r="GH46"/>
      <c r="GI46"/>
      <c r="GJ46"/>
      <c r="GK46"/>
      <c r="GL46"/>
      <c r="GM46"/>
    </row>
    <row r="47" spans="1:195" ht="14.4" x14ac:dyDescent="0.35">
      <c r="A47" s="131" t="s">
        <v>170</v>
      </c>
      <c r="B47" s="132"/>
      <c r="C47" s="32" t="e">
        <f ca="1">VLOOKUP(C6, 'Daily Target'!A9:E1002, 2, FALSE)+VLOOKUP(C6, 'Daily Target'!A9:E1002, 3, FALSE)</f>
        <v>#N/A</v>
      </c>
      <c r="D47" s="15"/>
      <c r="E47" s="15"/>
      <c r="F47" s="15"/>
      <c r="G47" s="15"/>
      <c r="H47" s="16"/>
      <c r="K47"/>
      <c r="L47"/>
      <c r="M47"/>
      <c r="N47"/>
      <c r="O47"/>
      <c r="P47"/>
      <c r="Q47"/>
      <c r="R47"/>
      <c r="S47"/>
      <c r="T47"/>
      <c r="U47"/>
      <c r="V47"/>
      <c r="AV47"/>
      <c r="AW47"/>
      <c r="AX47"/>
      <c r="AY47"/>
      <c r="AZ47"/>
      <c r="EY47"/>
      <c r="EZ47"/>
      <c r="FA47"/>
      <c r="FB47"/>
      <c r="FC47"/>
      <c r="FD47"/>
      <c r="FE47"/>
      <c r="FF47"/>
      <c r="FG47"/>
      <c r="FH47"/>
      <c r="FI47"/>
      <c r="FJ47"/>
      <c r="FK47"/>
      <c r="FL47"/>
      <c r="FM47"/>
      <c r="FN47"/>
      <c r="FO47"/>
      <c r="FP47"/>
      <c r="FQ47" s="119" t="s">
        <v>731</v>
      </c>
      <c r="FR47">
        <v>0</v>
      </c>
      <c r="FS47">
        <v>3</v>
      </c>
      <c r="FT47">
        <v>3</v>
      </c>
      <c r="FU47"/>
      <c r="FV47"/>
      <c r="FW47"/>
      <c r="FX47"/>
      <c r="FY47"/>
      <c r="FZ47"/>
      <c r="GA47"/>
      <c r="GB47"/>
      <c r="GC47"/>
      <c r="GD47"/>
      <c r="GE47"/>
      <c r="GF47"/>
      <c r="GG47"/>
      <c r="GH47"/>
      <c r="GI47"/>
      <c r="GJ47"/>
      <c r="GK47"/>
      <c r="GL47"/>
      <c r="GM47"/>
    </row>
    <row r="48" spans="1:195" ht="24" x14ac:dyDescent="0.35">
      <c r="A48" s="154" t="s">
        <v>111</v>
      </c>
      <c r="B48" s="155"/>
      <c r="C48" s="33" t="s">
        <v>171</v>
      </c>
      <c r="D48" s="33" t="s">
        <v>113</v>
      </c>
      <c r="E48" s="34" t="s">
        <v>114</v>
      </c>
      <c r="F48" s="156" t="s">
        <v>411</v>
      </c>
      <c r="G48" s="157"/>
      <c r="H48" s="158"/>
      <c r="K48"/>
      <c r="L48"/>
      <c r="M48"/>
      <c r="N48"/>
      <c r="O48"/>
      <c r="P48"/>
      <c r="Q48"/>
      <c r="R48"/>
      <c r="S48"/>
      <c r="T48"/>
      <c r="U48"/>
      <c r="V48"/>
      <c r="AV48"/>
      <c r="AW48"/>
      <c r="AX48"/>
      <c r="AY48"/>
      <c r="AZ48"/>
      <c r="EY48"/>
      <c r="EZ48"/>
      <c r="FA48"/>
      <c r="FB48"/>
      <c r="FC48"/>
      <c r="FD48"/>
      <c r="FE48"/>
      <c r="FF48"/>
      <c r="FG48"/>
      <c r="FH48"/>
      <c r="FI48"/>
      <c r="FJ48"/>
      <c r="FK48"/>
      <c r="FL48"/>
      <c r="FM48"/>
      <c r="FN48"/>
      <c r="FO48"/>
      <c r="FP48"/>
      <c r="FQ48" s="119" t="s">
        <v>732</v>
      </c>
      <c r="FR48">
        <v>0</v>
      </c>
      <c r="FS48">
        <v>1</v>
      </c>
      <c r="FT48">
        <v>1</v>
      </c>
      <c r="FU48"/>
      <c r="FV48"/>
      <c r="FW48"/>
      <c r="FX48"/>
      <c r="FY48"/>
      <c r="FZ48"/>
      <c r="GA48"/>
      <c r="GB48"/>
      <c r="GC48"/>
      <c r="GD48"/>
      <c r="GE48"/>
      <c r="GF48"/>
      <c r="GG48"/>
      <c r="GH48"/>
      <c r="GI48"/>
      <c r="GJ48"/>
      <c r="GK48"/>
      <c r="GL48"/>
      <c r="GM48"/>
    </row>
    <row r="49" spans="1:195" ht="14.4" x14ac:dyDescent="0.35">
      <c r="A49" s="152" t="s">
        <v>115</v>
      </c>
      <c r="B49" s="153"/>
      <c r="C49" s="35">
        <f>SUMIFS('Test Coverage'!C:C,'Test Coverage'!A:A,$C$5,'Test Coverage'!B:B,A49)</f>
        <v>0</v>
      </c>
      <c r="D49" s="36">
        <f>SUMIFS('Test Coverage'!D:D,'Test Coverage'!A:A,$C$5,'Test Coverage'!B:B,A49)</f>
        <v>0</v>
      </c>
      <c r="E49" s="37">
        <f ca="1">IFERROR((C49+D49)/C47,0)</f>
        <v>0</v>
      </c>
      <c r="F49" s="159"/>
      <c r="G49" s="138"/>
      <c r="H49" s="139"/>
      <c r="K49"/>
      <c r="L49"/>
      <c r="M49"/>
      <c r="N49"/>
      <c r="O49"/>
      <c r="P49"/>
      <c r="Q49"/>
      <c r="R49"/>
      <c r="S49"/>
      <c r="T49"/>
      <c r="U49"/>
      <c r="V49"/>
      <c r="AV49"/>
      <c r="AW49"/>
      <c r="AX49"/>
      <c r="AY49"/>
      <c r="AZ49"/>
      <c r="EY49"/>
      <c r="EZ49"/>
      <c r="FA49"/>
      <c r="FB49"/>
      <c r="FC49"/>
      <c r="FD49"/>
      <c r="FE49"/>
      <c r="FF49"/>
      <c r="FG49"/>
      <c r="FH49"/>
      <c r="FI49"/>
      <c r="FJ49"/>
      <c r="FK49"/>
      <c r="FL49"/>
      <c r="FM49"/>
      <c r="FN49"/>
      <c r="FO49"/>
      <c r="FP49"/>
      <c r="FQ49" s="119" t="s">
        <v>733</v>
      </c>
      <c r="FR49">
        <v>0</v>
      </c>
      <c r="FS49">
        <v>2</v>
      </c>
      <c r="FT49">
        <v>2</v>
      </c>
      <c r="FU49"/>
      <c r="FV49"/>
      <c r="FW49"/>
      <c r="FX49"/>
      <c r="FY49"/>
      <c r="FZ49"/>
      <c r="GA49"/>
      <c r="GB49"/>
      <c r="GC49"/>
      <c r="GD49"/>
      <c r="GE49"/>
      <c r="GF49"/>
      <c r="GG49"/>
      <c r="GH49"/>
      <c r="GI49"/>
      <c r="GJ49"/>
      <c r="GK49"/>
      <c r="GL49"/>
      <c r="GM49"/>
    </row>
    <row r="50" spans="1:195" ht="14.4" x14ac:dyDescent="0.35">
      <c r="A50" s="152" t="s">
        <v>116</v>
      </c>
      <c r="B50" s="153"/>
      <c r="C50" s="35">
        <f>SUMIFS('Test Coverage'!C:C,'Test Coverage'!A:A,$C$5,'Test Coverage'!B:B,A50)</f>
        <v>0</v>
      </c>
      <c r="D50" s="36">
        <f>SUMIFS('Test Coverage'!D:D,'Test Coverage'!A:A,$C$5,'Test Coverage'!B:B,A50)</f>
        <v>0</v>
      </c>
      <c r="E50" s="37">
        <f>IFERROR((C50+D50)/(C49+D49),0)</f>
        <v>0</v>
      </c>
      <c r="F50" s="159"/>
      <c r="G50" s="138"/>
      <c r="H50" s="139"/>
      <c r="K50"/>
      <c r="L50"/>
      <c r="M50"/>
      <c r="N50"/>
      <c r="O50"/>
      <c r="P50"/>
      <c r="Q50"/>
      <c r="R50"/>
      <c r="S50"/>
      <c r="T50"/>
      <c r="U50"/>
      <c r="V50"/>
      <c r="AV50"/>
      <c r="AW50"/>
      <c r="AX50"/>
      <c r="AY50"/>
      <c r="AZ50"/>
      <c r="EY50"/>
      <c r="EZ50"/>
      <c r="FA50"/>
      <c r="FB50"/>
      <c r="FC50"/>
      <c r="FD50"/>
      <c r="FE50"/>
      <c r="FF50"/>
      <c r="FG50"/>
      <c r="FH50"/>
      <c r="FI50"/>
      <c r="FJ50"/>
      <c r="FK50"/>
      <c r="FL50"/>
      <c r="FM50"/>
      <c r="FN50"/>
      <c r="FO50"/>
      <c r="FP50"/>
      <c r="FQ50" s="119" t="s">
        <v>734</v>
      </c>
      <c r="FR50">
        <v>0</v>
      </c>
      <c r="FS50">
        <v>1</v>
      </c>
      <c r="FT50">
        <v>1</v>
      </c>
      <c r="FU50"/>
      <c r="FV50"/>
      <c r="FW50"/>
      <c r="FX50"/>
      <c r="FY50"/>
      <c r="FZ50"/>
      <c r="GA50"/>
      <c r="GB50"/>
      <c r="GC50"/>
      <c r="GD50"/>
      <c r="GE50"/>
      <c r="GF50"/>
      <c r="GG50"/>
      <c r="GH50"/>
      <c r="GI50"/>
      <c r="GJ50"/>
      <c r="GK50"/>
      <c r="GL50"/>
      <c r="GM50"/>
    </row>
    <row r="51" spans="1:195" ht="14.4" x14ac:dyDescent="0.35">
      <c r="A51" s="152" t="s">
        <v>117</v>
      </c>
      <c r="B51" s="153"/>
      <c r="C51" s="35">
        <f>SUMIFS('Test Coverage'!C:C,'Test Coverage'!A:A,$C$5,'Test Coverage'!B:B,A51)</f>
        <v>0</v>
      </c>
      <c r="D51" s="36">
        <f>SUMIFS('Test Coverage'!D:D,'Test Coverage'!A:A,$C$5,'Test Coverage'!B:B,A51)</f>
        <v>0</v>
      </c>
      <c r="E51" s="37">
        <f>IFERROR((C51+D51)/(C49+D49),0)</f>
        <v>0</v>
      </c>
      <c r="F51" s="159"/>
      <c r="G51" s="138"/>
      <c r="H51" s="139"/>
      <c r="K51"/>
      <c r="L51"/>
      <c r="M51"/>
      <c r="N51"/>
      <c r="O51"/>
      <c r="P51"/>
      <c r="Q51"/>
      <c r="R51"/>
      <c r="S51"/>
      <c r="T51"/>
      <c r="U51"/>
      <c r="V51"/>
      <c r="AV51"/>
      <c r="AW51"/>
      <c r="AX51"/>
      <c r="AY51"/>
      <c r="AZ51"/>
      <c r="EY51"/>
      <c r="EZ51"/>
      <c r="FA51"/>
      <c r="FB51"/>
      <c r="FC51"/>
      <c r="FD51"/>
      <c r="FE51"/>
      <c r="FF51"/>
      <c r="FG51"/>
      <c r="FH51"/>
      <c r="FI51"/>
      <c r="FJ51"/>
      <c r="FK51"/>
      <c r="FL51"/>
      <c r="FM51"/>
      <c r="FN51"/>
      <c r="FO51"/>
      <c r="FP51"/>
      <c r="FQ51" s="119" t="s">
        <v>735</v>
      </c>
      <c r="FR51">
        <v>0</v>
      </c>
      <c r="FS51">
        <v>1</v>
      </c>
      <c r="FT51">
        <v>1</v>
      </c>
      <c r="FU51"/>
      <c r="FV51"/>
      <c r="FW51"/>
      <c r="FX51"/>
      <c r="FY51"/>
      <c r="FZ51"/>
      <c r="GA51"/>
      <c r="GB51"/>
      <c r="GC51"/>
      <c r="GD51"/>
      <c r="GE51"/>
      <c r="GF51"/>
      <c r="GG51"/>
      <c r="GH51"/>
      <c r="GI51"/>
      <c r="GJ51"/>
      <c r="GK51"/>
      <c r="GL51"/>
      <c r="GM51"/>
    </row>
    <row r="52" spans="1:195" ht="14.4" x14ac:dyDescent="0.35">
      <c r="A52" s="152" t="s">
        <v>119</v>
      </c>
      <c r="B52" s="153"/>
      <c r="C52" s="35">
        <f>SUMIFS('Test Coverage'!C:C,'Test Coverage'!A:A,$C$5,'Test Coverage'!B:B,A52)</f>
        <v>0</v>
      </c>
      <c r="D52" s="36">
        <f>SUMIFS('Test Coverage'!D:D,'Test Coverage'!A:A,$C$5,'Test Coverage'!B:B,A52)</f>
        <v>0</v>
      </c>
      <c r="E52" s="37">
        <f ca="1">IFERROR((C52+D52)/C47,0)</f>
        <v>0</v>
      </c>
      <c r="F52" s="159"/>
      <c r="G52" s="138"/>
      <c r="H52" s="139"/>
      <c r="K52"/>
      <c r="L52"/>
      <c r="M52"/>
      <c r="N52"/>
      <c r="O52"/>
      <c r="P52"/>
      <c r="Q52"/>
      <c r="R52"/>
      <c r="S52"/>
      <c r="T52"/>
      <c r="U52"/>
      <c r="V52"/>
      <c r="AV52"/>
      <c r="AW52"/>
      <c r="AX52"/>
      <c r="AY52"/>
      <c r="AZ52"/>
      <c r="EY52"/>
      <c r="EZ52"/>
      <c r="FA52"/>
      <c r="FB52"/>
      <c r="FC52"/>
      <c r="FD52"/>
      <c r="FE52"/>
      <c r="FF52"/>
      <c r="FG52"/>
      <c r="FH52"/>
      <c r="FI52"/>
      <c r="FJ52"/>
      <c r="FK52"/>
      <c r="FL52"/>
      <c r="FM52"/>
      <c r="FN52"/>
      <c r="FO52"/>
      <c r="FP52"/>
      <c r="FQ52" s="119" t="s">
        <v>736</v>
      </c>
      <c r="FR52">
        <v>0</v>
      </c>
      <c r="FS52">
        <v>1</v>
      </c>
      <c r="FT52">
        <v>1</v>
      </c>
      <c r="FU52"/>
      <c r="FV52"/>
      <c r="FW52"/>
      <c r="FX52"/>
      <c r="FY52"/>
      <c r="FZ52"/>
      <c r="GA52"/>
      <c r="GB52"/>
      <c r="GC52"/>
      <c r="GD52"/>
      <c r="GE52"/>
      <c r="GF52"/>
      <c r="GG52"/>
      <c r="GH52"/>
      <c r="GI52"/>
      <c r="GJ52"/>
      <c r="GK52"/>
      <c r="GL52"/>
      <c r="GM52"/>
    </row>
    <row r="53" spans="1:195" ht="14.4" x14ac:dyDescent="0.35">
      <c r="A53" s="152" t="s">
        <v>118</v>
      </c>
      <c r="B53" s="153"/>
      <c r="C53" s="35">
        <f>SUMIFS('Test Coverage'!C:C,'Test Coverage'!A:A,$C$5,'Test Coverage'!B:B,A53)</f>
        <v>0</v>
      </c>
      <c r="D53" s="36">
        <f>SUMIFS('Test Coverage'!D:D,'Test Coverage'!A:A,$C$5,'Test Coverage'!B:B,A53)</f>
        <v>0</v>
      </c>
      <c r="E53" s="37">
        <f>IFERROR((C53+D53)/(C49+D49),0)</f>
        <v>0</v>
      </c>
      <c r="F53" s="159"/>
      <c r="G53" s="138"/>
      <c r="H53" s="139"/>
      <c r="K53"/>
      <c r="L53"/>
      <c r="M53"/>
      <c r="N53"/>
      <c r="O53"/>
      <c r="P53"/>
      <c r="Q53"/>
      <c r="R53"/>
      <c r="S53"/>
      <c r="T53"/>
      <c r="U53"/>
      <c r="V53"/>
      <c r="AV53"/>
      <c r="AW53"/>
      <c r="AX53"/>
      <c r="AY53"/>
      <c r="AZ53"/>
      <c r="EY53"/>
      <c r="EZ53"/>
      <c r="FA53"/>
      <c r="FB53"/>
      <c r="FC53"/>
      <c r="FD53"/>
      <c r="FE53"/>
      <c r="FF53"/>
      <c r="FG53"/>
      <c r="FH53"/>
      <c r="FI53"/>
      <c r="FJ53"/>
      <c r="FK53"/>
      <c r="FL53"/>
      <c r="FM53"/>
      <c r="FN53"/>
      <c r="FO53"/>
      <c r="FP53"/>
      <c r="FQ53" s="119" t="s">
        <v>737</v>
      </c>
      <c r="FR53">
        <v>0</v>
      </c>
      <c r="FS53">
        <v>3</v>
      </c>
      <c r="FT53">
        <v>3</v>
      </c>
      <c r="FU53"/>
      <c r="FV53"/>
      <c r="FW53"/>
      <c r="FX53"/>
      <c r="FY53"/>
      <c r="FZ53"/>
      <c r="GA53"/>
      <c r="GB53"/>
      <c r="GC53"/>
      <c r="GD53"/>
      <c r="GE53"/>
      <c r="GF53"/>
      <c r="GG53"/>
      <c r="GH53"/>
      <c r="GI53"/>
      <c r="GJ53"/>
      <c r="GK53"/>
      <c r="GL53"/>
      <c r="GM53"/>
    </row>
    <row r="54" spans="1:195" ht="14.4" x14ac:dyDescent="0.35">
      <c r="A54" s="152" t="s">
        <v>120</v>
      </c>
      <c r="B54" s="153"/>
      <c r="C54" s="35">
        <f>SUMIFS('Test Coverage'!C:C,'Test Coverage'!A:A,$C$5,'Test Coverage'!B:B,A54)</f>
        <v>0</v>
      </c>
      <c r="D54" s="36">
        <f>SUMIFS('Test Coverage'!D:D,'Test Coverage'!A:A,$C$5,'Test Coverage'!B:B,A54)</f>
        <v>0</v>
      </c>
      <c r="E54" s="37">
        <f ca="1">IFERROR((D54+C54)/C47,0)</f>
        <v>0</v>
      </c>
      <c r="F54" s="159"/>
      <c r="G54" s="138"/>
      <c r="H54" s="139"/>
      <c r="K54"/>
      <c r="L54"/>
      <c r="M54"/>
      <c r="N54"/>
      <c r="O54"/>
      <c r="P54"/>
      <c r="Q54"/>
      <c r="R54"/>
      <c r="S54"/>
      <c r="T54"/>
      <c r="U54"/>
      <c r="V54"/>
      <c r="AV54"/>
      <c r="AW54"/>
      <c r="AX54"/>
      <c r="AY54"/>
      <c r="AZ54"/>
      <c r="EY54"/>
      <c r="EZ54"/>
      <c r="FA54"/>
      <c r="FB54"/>
      <c r="FC54"/>
      <c r="FD54"/>
      <c r="FE54"/>
      <c r="FF54"/>
      <c r="FG54"/>
      <c r="FH54"/>
      <c r="FI54"/>
      <c r="FJ54"/>
      <c r="FK54"/>
      <c r="FL54"/>
      <c r="FM54"/>
      <c r="FN54"/>
      <c r="FO54"/>
      <c r="FP54"/>
      <c r="FQ54" s="119" t="s">
        <v>738</v>
      </c>
      <c r="FR54">
        <v>0</v>
      </c>
      <c r="FS54">
        <v>1</v>
      </c>
      <c r="FT54">
        <v>1</v>
      </c>
      <c r="FU54"/>
      <c r="FV54"/>
      <c r="FW54"/>
      <c r="FX54"/>
      <c r="FY54"/>
      <c r="FZ54"/>
      <c r="GA54"/>
      <c r="GB54"/>
      <c r="GC54"/>
      <c r="GD54"/>
      <c r="GE54"/>
      <c r="GF54"/>
      <c r="GG54"/>
      <c r="GH54"/>
      <c r="GI54"/>
      <c r="GJ54"/>
      <c r="GK54"/>
      <c r="GL54"/>
      <c r="GM54"/>
    </row>
    <row r="55" spans="1:195" ht="14.4" x14ac:dyDescent="0.35">
      <c r="A55" s="160" t="s">
        <v>121</v>
      </c>
      <c r="B55" s="161"/>
      <c r="C55" s="35">
        <f>SUMIFS('Test Coverage'!C:C,'Test Coverage'!A:A,$C$5,'Test Coverage'!B:B,A55)</f>
        <v>0</v>
      </c>
      <c r="D55" s="36">
        <f>SUMIFS('Test Coverage'!D:D,'Test Coverage'!A:A,$C$5,'Test Coverage'!B:B,A55)</f>
        <v>0</v>
      </c>
      <c r="E55" s="37">
        <f ca="1">IFERROR((C55+D55)/C47,0)</f>
        <v>0</v>
      </c>
      <c r="F55" s="159"/>
      <c r="G55" s="138"/>
      <c r="H55" s="139"/>
      <c r="K55"/>
      <c r="L55"/>
      <c r="M55"/>
      <c r="N55"/>
      <c r="O55"/>
      <c r="P55"/>
      <c r="Q55"/>
      <c r="R55"/>
      <c r="S55"/>
      <c r="T55"/>
      <c r="U55"/>
      <c r="V55"/>
      <c r="AV55"/>
      <c r="AW55"/>
      <c r="AX55"/>
      <c r="AY55"/>
      <c r="AZ55"/>
      <c r="EY55"/>
      <c r="EZ55"/>
      <c r="FA55"/>
      <c r="FB55"/>
      <c r="FC55"/>
      <c r="FD55"/>
      <c r="FE55"/>
      <c r="FF55"/>
      <c r="FG55"/>
      <c r="FH55"/>
      <c r="FI55"/>
      <c r="FJ55"/>
      <c r="FK55"/>
      <c r="FL55"/>
      <c r="FM55"/>
      <c r="FN55"/>
      <c r="FO55"/>
      <c r="FP55"/>
      <c r="FQ55" s="119" t="s">
        <v>739</v>
      </c>
      <c r="FR55">
        <v>0</v>
      </c>
      <c r="FS55">
        <v>1</v>
      </c>
      <c r="FT55">
        <v>1</v>
      </c>
      <c r="FU55"/>
      <c r="FV55"/>
      <c r="FW55"/>
      <c r="FX55"/>
      <c r="FY55"/>
      <c r="FZ55"/>
      <c r="GA55"/>
      <c r="GB55"/>
      <c r="GC55"/>
      <c r="GD55"/>
      <c r="GE55"/>
      <c r="GF55"/>
      <c r="GG55"/>
      <c r="GH55"/>
      <c r="GI55"/>
      <c r="GJ55"/>
      <c r="GK55"/>
      <c r="GL55"/>
      <c r="GM55"/>
    </row>
    <row r="56" spans="1:195" ht="14.4" x14ac:dyDescent="0.35">
      <c r="A56" s="145" t="s">
        <v>172</v>
      </c>
      <c r="B56" s="146"/>
      <c r="C56" s="146"/>
      <c r="D56" s="146"/>
      <c r="E56" s="146"/>
      <c r="F56" s="146"/>
      <c r="G56" s="146"/>
      <c r="H56" s="147"/>
      <c r="K56"/>
      <c r="L56"/>
      <c r="M56"/>
      <c r="N56"/>
      <c r="O56"/>
      <c r="P56"/>
      <c r="Q56"/>
      <c r="R56"/>
      <c r="S56"/>
      <c r="T56"/>
      <c r="U56"/>
      <c r="V56"/>
      <c r="AV56"/>
      <c r="AW56"/>
      <c r="AX56"/>
      <c r="AY56"/>
      <c r="AZ56"/>
      <c r="EY56"/>
      <c r="EZ56"/>
      <c r="FA56"/>
      <c r="FB56"/>
      <c r="FC56"/>
      <c r="FD56"/>
      <c r="FE56"/>
      <c r="FF56"/>
      <c r="FG56"/>
      <c r="FH56"/>
      <c r="FI56"/>
      <c r="FJ56"/>
      <c r="FK56"/>
      <c r="FL56"/>
      <c r="FM56"/>
      <c r="FN56"/>
      <c r="FO56"/>
      <c r="FP56"/>
      <c r="FQ56" s="119" t="s">
        <v>740</v>
      </c>
      <c r="FR56">
        <v>0</v>
      </c>
      <c r="FS56">
        <v>2</v>
      </c>
      <c r="FT56">
        <v>2</v>
      </c>
      <c r="FU56"/>
      <c r="FV56"/>
      <c r="FW56"/>
      <c r="FX56"/>
      <c r="FY56"/>
      <c r="FZ56"/>
      <c r="GA56"/>
      <c r="GB56"/>
      <c r="GC56"/>
      <c r="GD56"/>
      <c r="GE56"/>
      <c r="GF56"/>
      <c r="GG56"/>
      <c r="GH56"/>
      <c r="GI56"/>
      <c r="GJ56"/>
      <c r="GK56"/>
      <c r="GL56"/>
      <c r="GM56"/>
    </row>
    <row r="57" spans="1:195" ht="14.4" x14ac:dyDescent="0.35">
      <c r="A57" s="15"/>
      <c r="B57" s="15"/>
      <c r="C57" s="15"/>
      <c r="D57" s="15"/>
      <c r="E57" s="15"/>
      <c r="F57" s="15"/>
      <c r="G57" s="15"/>
      <c r="H57" s="16"/>
      <c r="K57"/>
      <c r="L57"/>
      <c r="M57"/>
      <c r="N57"/>
      <c r="O57"/>
      <c r="P57"/>
      <c r="Q57"/>
      <c r="R57"/>
      <c r="S57"/>
      <c r="T57"/>
      <c r="U57"/>
      <c r="V57"/>
      <c r="AV57"/>
      <c r="AW57"/>
      <c r="AX57"/>
      <c r="AY57"/>
      <c r="AZ57"/>
      <c r="EY57"/>
      <c r="EZ57"/>
      <c r="FA57"/>
      <c r="FB57"/>
      <c r="FC57"/>
      <c r="FD57"/>
      <c r="FE57"/>
      <c r="FF57"/>
      <c r="FG57"/>
      <c r="FH57"/>
      <c r="FI57"/>
      <c r="FJ57"/>
      <c r="FK57"/>
      <c r="FL57"/>
      <c r="FM57"/>
      <c r="FN57"/>
      <c r="FO57"/>
      <c r="FP57"/>
      <c r="FQ57" s="119" t="s">
        <v>741</v>
      </c>
      <c r="FR57">
        <v>0</v>
      </c>
      <c r="FS57">
        <v>1</v>
      </c>
      <c r="FT57">
        <v>1</v>
      </c>
      <c r="FU57"/>
      <c r="FV57"/>
      <c r="FW57"/>
      <c r="FX57"/>
      <c r="FY57"/>
      <c r="FZ57"/>
      <c r="GA57"/>
      <c r="GB57"/>
      <c r="GC57"/>
      <c r="GD57"/>
      <c r="GE57"/>
      <c r="GF57"/>
      <c r="GG57"/>
      <c r="GH57"/>
      <c r="GI57"/>
      <c r="GJ57"/>
      <c r="GK57"/>
      <c r="GL57"/>
      <c r="GM57"/>
    </row>
    <row r="58" spans="1:195" ht="14.4" x14ac:dyDescent="0.35">
      <c r="A58" s="15"/>
      <c r="B58" s="15"/>
      <c r="C58" s="15"/>
      <c r="D58" s="15"/>
      <c r="E58" s="15"/>
      <c r="F58" s="15"/>
      <c r="G58" s="15"/>
      <c r="H58" s="16"/>
      <c r="K58"/>
      <c r="L58"/>
      <c r="M58"/>
      <c r="N58"/>
      <c r="O58"/>
      <c r="P58"/>
      <c r="Q58"/>
      <c r="R58"/>
      <c r="S58"/>
      <c r="T58"/>
      <c r="U58"/>
      <c r="V58"/>
      <c r="AV58"/>
      <c r="AW58"/>
      <c r="AX58"/>
      <c r="AY58"/>
      <c r="AZ58"/>
      <c r="EY58"/>
      <c r="EZ58"/>
      <c r="FA58"/>
      <c r="FB58"/>
      <c r="FC58"/>
      <c r="FD58"/>
      <c r="FE58"/>
      <c r="FF58"/>
      <c r="FG58"/>
      <c r="FH58"/>
      <c r="FI58"/>
      <c r="FJ58"/>
      <c r="FK58"/>
      <c r="FL58"/>
      <c r="FM58"/>
      <c r="FN58"/>
      <c r="FO58"/>
      <c r="FP58"/>
      <c r="FQ58" s="119" t="s">
        <v>742</v>
      </c>
      <c r="FR58">
        <v>0</v>
      </c>
      <c r="FS58">
        <v>1</v>
      </c>
      <c r="FT58">
        <v>1</v>
      </c>
      <c r="FU58"/>
      <c r="FV58"/>
      <c r="FW58"/>
      <c r="FX58"/>
      <c r="FY58"/>
      <c r="FZ58"/>
      <c r="GA58"/>
      <c r="GB58"/>
      <c r="GC58"/>
      <c r="GD58"/>
      <c r="GE58"/>
      <c r="GF58"/>
      <c r="GG58"/>
      <c r="GH58"/>
      <c r="GI58"/>
      <c r="GJ58"/>
      <c r="GK58"/>
      <c r="GL58"/>
      <c r="GM58"/>
    </row>
    <row r="59" spans="1:195" ht="24" x14ac:dyDescent="0.35">
      <c r="A59" s="148" t="s">
        <v>122</v>
      </c>
      <c r="B59" s="149"/>
      <c r="C59" s="39" t="s">
        <v>173</v>
      </c>
      <c r="D59" s="39" t="s">
        <v>113</v>
      </c>
      <c r="E59" s="39" t="s">
        <v>124</v>
      </c>
      <c r="F59" s="34" t="s">
        <v>114</v>
      </c>
      <c r="G59" s="15"/>
      <c r="H59" s="16"/>
      <c r="K59"/>
      <c r="L59"/>
      <c r="M59"/>
      <c r="N59"/>
      <c r="O59"/>
      <c r="P59"/>
      <c r="Q59"/>
      <c r="R59"/>
      <c r="S59"/>
      <c r="T59"/>
      <c r="U59"/>
      <c r="V59"/>
      <c r="AV59"/>
      <c r="AW59"/>
      <c r="AX59"/>
      <c r="AY59"/>
      <c r="AZ59"/>
      <c r="EY59"/>
      <c r="EZ59"/>
      <c r="FA59"/>
      <c r="FB59"/>
      <c r="FC59"/>
      <c r="FD59"/>
      <c r="FE59"/>
      <c r="FF59"/>
      <c r="FG59"/>
      <c r="FH59"/>
      <c r="FI59"/>
      <c r="FJ59"/>
      <c r="FK59"/>
      <c r="FL59"/>
      <c r="FM59"/>
      <c r="FN59"/>
      <c r="FO59"/>
      <c r="FP59"/>
      <c r="FQ59" s="119" t="s">
        <v>743</v>
      </c>
      <c r="FR59">
        <v>0</v>
      </c>
      <c r="FS59">
        <v>1</v>
      </c>
      <c r="FT59">
        <v>1</v>
      </c>
      <c r="FU59"/>
      <c r="FV59"/>
      <c r="FW59"/>
      <c r="FX59"/>
      <c r="FY59"/>
      <c r="FZ59"/>
      <c r="GA59"/>
      <c r="GB59"/>
      <c r="GC59"/>
      <c r="GD59"/>
      <c r="GE59"/>
      <c r="GF59"/>
      <c r="GG59"/>
      <c r="GH59"/>
      <c r="GI59"/>
      <c r="GJ59"/>
      <c r="GK59"/>
      <c r="GL59"/>
      <c r="GM59"/>
    </row>
    <row r="60" spans="1:195" ht="14.4" x14ac:dyDescent="0.35">
      <c r="A60" s="150" t="s">
        <v>236</v>
      </c>
      <c r="B60" s="151"/>
      <c r="C60" s="35">
        <f>SUMIFS('Cumulative Test Coverage'!C:C,'Cumulative Test Coverage'!A:A,$C$5,'Cumulative Test Coverage'!B:B,A60)</f>
        <v>142</v>
      </c>
      <c r="D60" s="35">
        <f>SUMIFS('Cumulative Test Coverage'!D:D,'Cumulative Test Coverage'!A:A,$C$5,'Cumulative Test Coverage'!B:B,A60)</f>
        <v>378</v>
      </c>
      <c r="E60" s="37">
        <f>IFERROR(D60/(D60+C60),0)</f>
        <v>0.72692307692307689</v>
      </c>
      <c r="F60" s="40"/>
      <c r="G60" s="15"/>
      <c r="H60" s="16"/>
      <c r="K60"/>
      <c r="L60"/>
      <c r="M60"/>
      <c r="N60"/>
      <c r="O60"/>
      <c r="P60"/>
      <c r="Q60"/>
      <c r="R60"/>
      <c r="S60"/>
      <c r="T60"/>
      <c r="U60"/>
      <c r="V60"/>
      <c r="AV60"/>
      <c r="AW60"/>
      <c r="AX60"/>
      <c r="AY60"/>
      <c r="AZ60"/>
      <c r="EY60"/>
      <c r="EZ60"/>
      <c r="FA60"/>
      <c r="FB60"/>
      <c r="FC60"/>
      <c r="FD60"/>
      <c r="FE60"/>
      <c r="FF60"/>
      <c r="FG60"/>
      <c r="FH60"/>
      <c r="FI60"/>
      <c r="FJ60"/>
      <c r="FK60"/>
      <c r="FL60"/>
      <c r="FM60"/>
      <c r="FN60"/>
      <c r="FO60"/>
      <c r="FP60"/>
      <c r="FQ60" s="119" t="s">
        <v>744</v>
      </c>
      <c r="FR60">
        <v>0</v>
      </c>
      <c r="FS60">
        <v>1</v>
      </c>
      <c r="FT60">
        <v>1</v>
      </c>
      <c r="FU60"/>
      <c r="FV60"/>
      <c r="FW60"/>
      <c r="FX60"/>
      <c r="FY60"/>
      <c r="FZ60"/>
      <c r="GA60"/>
      <c r="GB60"/>
      <c r="GC60"/>
      <c r="GD60"/>
      <c r="GE60"/>
      <c r="GF60"/>
      <c r="GG60"/>
      <c r="GH60"/>
      <c r="GI60"/>
      <c r="GJ60"/>
      <c r="GK60"/>
      <c r="GL60"/>
      <c r="GM60"/>
    </row>
    <row r="61" spans="1:195" ht="14.4" x14ac:dyDescent="0.35">
      <c r="A61" s="72" t="s">
        <v>241</v>
      </c>
      <c r="B61" s="73"/>
      <c r="C61" s="35" t="e">
        <f ca="1">VLOOKUP(C6, 'Daily Target'!A9:E1002, 4, FALSE)</f>
        <v>#N/A</v>
      </c>
      <c r="D61" s="35" t="e">
        <f ca="1">VLOOKUP(C6, 'Daily Target'!A9:E1002, 5, FALSE)</f>
        <v>#N/A</v>
      </c>
      <c r="E61" s="37">
        <f ca="1">IFERROR(D61/(D61+C61),0)</f>
        <v>0</v>
      </c>
      <c r="F61" s="41">
        <f ca="1">IFERROR((C62+D62)/(C61+D61),0)</f>
        <v>0</v>
      </c>
      <c r="G61" s="15"/>
      <c r="H61" s="16"/>
      <c r="K61"/>
      <c r="L61"/>
      <c r="M61"/>
      <c r="N61"/>
      <c r="O61"/>
      <c r="P61"/>
      <c r="Q61"/>
      <c r="R61"/>
      <c r="S61"/>
      <c r="T61"/>
      <c r="U61"/>
      <c r="V61"/>
      <c r="AV61"/>
      <c r="AW61"/>
      <c r="AX61"/>
      <c r="AY61"/>
      <c r="AZ61"/>
      <c r="EY61"/>
      <c r="EZ61"/>
      <c r="FA61"/>
      <c r="FB61"/>
      <c r="FC61"/>
      <c r="FD61"/>
      <c r="FE61"/>
      <c r="FF61"/>
      <c r="FG61"/>
      <c r="FH61"/>
      <c r="FI61"/>
      <c r="FJ61"/>
      <c r="FK61"/>
      <c r="FL61"/>
      <c r="FM61"/>
      <c r="FN61"/>
      <c r="FO61"/>
      <c r="FP61"/>
      <c r="FQ61" s="119" t="s">
        <v>745</v>
      </c>
      <c r="FR61">
        <v>0</v>
      </c>
      <c r="FS61">
        <v>3</v>
      </c>
      <c r="FT61">
        <v>3</v>
      </c>
      <c r="FU61"/>
      <c r="FV61"/>
      <c r="FW61"/>
      <c r="FX61"/>
      <c r="FY61"/>
      <c r="FZ61"/>
      <c r="GA61"/>
      <c r="GB61"/>
      <c r="GC61"/>
      <c r="GD61"/>
      <c r="GE61"/>
      <c r="GF61"/>
      <c r="GG61"/>
      <c r="GH61"/>
      <c r="GI61"/>
      <c r="GJ61"/>
      <c r="GK61"/>
      <c r="GL61"/>
      <c r="GM61"/>
    </row>
    <row r="62" spans="1:195" ht="14.4" x14ac:dyDescent="0.35">
      <c r="A62" s="150" t="s">
        <v>115</v>
      </c>
      <c r="B62" s="151"/>
      <c r="C62" s="35">
        <f>SUMIFS('Cumulative Test Coverage'!C:C,'Cumulative Test Coverage'!A:A,$C$5,'Cumulative Test Coverage'!B:B,A62)</f>
        <v>142</v>
      </c>
      <c r="D62" s="35">
        <f>SUMIFS('Cumulative Test Coverage'!D:D,'Cumulative Test Coverage'!A:A,$C$5,'Cumulative Test Coverage'!B:B,A62)</f>
        <v>378</v>
      </c>
      <c r="E62" s="37">
        <f>IFERROR(D62/(D62+C62),0)</f>
        <v>0.72692307692307689</v>
      </c>
      <c r="F62" s="41">
        <f>IFERROR((C62+D62)/(C60+D60),0)</f>
        <v>1</v>
      </c>
      <c r="G62" s="15"/>
      <c r="H62" s="16"/>
      <c r="K62"/>
      <c r="L62"/>
      <c r="M62"/>
      <c r="N62"/>
      <c r="O62"/>
      <c r="P62"/>
      <c r="Q62"/>
      <c r="R62"/>
      <c r="S62"/>
      <c r="T62"/>
      <c r="U62"/>
      <c r="V62"/>
      <c r="AV62"/>
      <c r="AW62"/>
      <c r="AX62"/>
      <c r="AY62"/>
      <c r="AZ62"/>
      <c r="EY62"/>
      <c r="EZ62"/>
      <c r="FA62"/>
      <c r="FB62"/>
      <c r="FC62"/>
      <c r="FD62"/>
      <c r="FE62"/>
      <c r="FF62"/>
      <c r="FG62"/>
      <c r="FH62"/>
      <c r="FI62"/>
      <c r="FJ62"/>
      <c r="FK62"/>
      <c r="FL62"/>
      <c r="FM62"/>
      <c r="FN62"/>
      <c r="FO62"/>
      <c r="FP62"/>
      <c r="FQ62" s="119" t="s">
        <v>746</v>
      </c>
      <c r="FR62">
        <v>0</v>
      </c>
      <c r="FS62">
        <v>1</v>
      </c>
      <c r="FT62">
        <v>1</v>
      </c>
      <c r="FU62"/>
      <c r="FV62"/>
      <c r="FW62"/>
      <c r="FX62"/>
      <c r="FY62"/>
      <c r="FZ62"/>
      <c r="GA62"/>
      <c r="GB62"/>
      <c r="GC62"/>
      <c r="GD62"/>
      <c r="GE62"/>
      <c r="GF62"/>
      <c r="GG62"/>
      <c r="GH62"/>
      <c r="GI62"/>
      <c r="GJ62"/>
      <c r="GK62"/>
      <c r="GL62"/>
      <c r="GM62"/>
    </row>
    <row r="63" spans="1:195" ht="14.4" x14ac:dyDescent="0.35">
      <c r="A63" s="152" t="s">
        <v>116</v>
      </c>
      <c r="B63" s="153"/>
      <c r="C63" s="35">
        <f>SUMIFS('Cumulative Test Coverage'!C:C,'Cumulative Test Coverage'!A:A,$C$5,'Cumulative Test Coverage'!B:B,A63)</f>
        <v>141</v>
      </c>
      <c r="D63" s="35">
        <f>SUMIFS('Cumulative Test Coverage'!D:D,'Cumulative Test Coverage'!A:A,$C$5,'Cumulative Test Coverage'!B:B,A63)</f>
        <v>378</v>
      </c>
      <c r="E63" s="41">
        <f>IFERROR(D63/D62,0)</f>
        <v>1</v>
      </c>
      <c r="F63" s="41">
        <f>IFERROR((C63+D63)/(C62+D62),0)</f>
        <v>0.99807692307692308</v>
      </c>
      <c r="G63" s="15"/>
      <c r="H63" s="16"/>
      <c r="K63"/>
      <c r="L63"/>
      <c r="M63"/>
      <c r="N63"/>
      <c r="O63"/>
      <c r="P63"/>
      <c r="Q63"/>
      <c r="R63"/>
      <c r="S63"/>
      <c r="T63"/>
      <c r="U63"/>
      <c r="V63"/>
      <c r="AV63"/>
      <c r="AW63"/>
      <c r="AX63"/>
      <c r="AY63"/>
      <c r="AZ63"/>
      <c r="EY63"/>
      <c r="EZ63"/>
      <c r="FA63"/>
      <c r="FB63"/>
      <c r="FC63"/>
      <c r="FD63"/>
      <c r="FE63"/>
      <c r="FF63"/>
      <c r="FG63"/>
      <c r="FH63"/>
      <c r="FI63"/>
      <c r="FJ63"/>
      <c r="FK63"/>
      <c r="FL63"/>
      <c r="FM63"/>
      <c r="FN63"/>
      <c r="FO63"/>
      <c r="FP63"/>
      <c r="FQ63" s="119" t="s">
        <v>747</v>
      </c>
      <c r="FR63">
        <v>1</v>
      </c>
      <c r="FS63">
        <v>0</v>
      </c>
      <c r="FT63">
        <v>1</v>
      </c>
      <c r="FU63"/>
      <c r="FV63"/>
      <c r="FW63"/>
      <c r="FX63"/>
      <c r="FY63"/>
      <c r="FZ63"/>
      <c r="GA63"/>
      <c r="GB63"/>
      <c r="GC63"/>
      <c r="GD63"/>
      <c r="GE63"/>
      <c r="GF63"/>
      <c r="GG63"/>
      <c r="GH63"/>
      <c r="GI63"/>
      <c r="GJ63"/>
      <c r="GK63"/>
      <c r="GL63"/>
      <c r="GM63"/>
    </row>
    <row r="64" spans="1:195" ht="14.4" x14ac:dyDescent="0.35">
      <c r="A64" s="152" t="s">
        <v>117</v>
      </c>
      <c r="B64" s="153"/>
      <c r="C64" s="35">
        <f>SUMIFS('Cumulative Test Coverage'!C:C,'Cumulative Test Coverage'!A:A,$C$5,'Cumulative Test Coverage'!B:B,A64)</f>
        <v>1</v>
      </c>
      <c r="D64" s="35">
        <f>SUMIFS('Cumulative Test Coverage'!D:D,'Cumulative Test Coverage'!A:A,$C$5,'Cumulative Test Coverage'!B:B,A64)</f>
        <v>0</v>
      </c>
      <c r="E64" s="41">
        <f>IFERROR(D64/D62,0)</f>
        <v>0</v>
      </c>
      <c r="F64" s="41">
        <f>IFERROR((C64+D64)/(C62+D62),0)</f>
        <v>1.9230769230769232E-3</v>
      </c>
      <c r="G64" s="15"/>
      <c r="H64" s="16"/>
      <c r="K64"/>
      <c r="L64"/>
      <c r="M64"/>
      <c r="N64"/>
      <c r="O64"/>
      <c r="P64"/>
      <c r="Q64"/>
      <c r="R64"/>
      <c r="S64"/>
      <c r="T64"/>
      <c r="U64"/>
      <c r="V64"/>
      <c r="AV64"/>
      <c r="AW64"/>
      <c r="AX64"/>
      <c r="AY64"/>
      <c r="AZ64"/>
      <c r="EY64"/>
      <c r="EZ64"/>
      <c r="FA64"/>
      <c r="FB64"/>
      <c r="FC64"/>
      <c r="FD64"/>
      <c r="FE64"/>
      <c r="FF64"/>
      <c r="FG64"/>
      <c r="FH64"/>
      <c r="FI64"/>
      <c r="FJ64"/>
      <c r="FK64"/>
      <c r="FL64"/>
      <c r="FM64"/>
      <c r="FN64"/>
      <c r="FO64"/>
      <c r="FP64"/>
      <c r="FQ64" s="119" t="s">
        <v>748</v>
      </c>
      <c r="FR64"/>
      <c r="FS64"/>
      <c r="FT64"/>
      <c r="FU64"/>
      <c r="FV64"/>
      <c r="FW64"/>
      <c r="FX64"/>
      <c r="FY64"/>
      <c r="FZ64"/>
      <c r="GA64"/>
      <c r="GB64"/>
      <c r="GC64"/>
      <c r="GD64"/>
      <c r="GE64"/>
      <c r="GF64"/>
      <c r="GG64"/>
      <c r="GH64"/>
      <c r="GI64"/>
      <c r="GJ64"/>
      <c r="GK64"/>
      <c r="GL64"/>
      <c r="GM64"/>
    </row>
    <row r="65" spans="1:195" ht="14.4" x14ac:dyDescent="0.35">
      <c r="A65" s="152" t="s">
        <v>118</v>
      </c>
      <c r="B65" s="153"/>
      <c r="C65" s="35">
        <f>SUMIFS('Cumulative Test Coverage'!C:C,'Cumulative Test Coverage'!A:A,$C$5,'Cumulative Test Coverage'!B:B,A65)</f>
        <v>0</v>
      </c>
      <c r="D65" s="35">
        <f>SUMIFS('Cumulative Test Coverage'!D:D,'Cumulative Test Coverage'!A:A,$C$5,'Cumulative Test Coverage'!B:B,A65)</f>
        <v>0</v>
      </c>
      <c r="E65" s="41">
        <f>IFERROR(D65/D62,0)</f>
        <v>0</v>
      </c>
      <c r="F65" s="41">
        <f>IFERROR((C65+D65)/(C62+D62),0)</f>
        <v>0</v>
      </c>
      <c r="G65" s="15"/>
      <c r="H65" s="16"/>
      <c r="K65"/>
      <c r="L65"/>
      <c r="M65"/>
      <c r="N65"/>
      <c r="O65"/>
      <c r="P65"/>
      <c r="Q65"/>
      <c r="R65"/>
      <c r="S65"/>
      <c r="T65"/>
      <c r="U65"/>
      <c r="V65"/>
      <c r="AV65"/>
      <c r="AW65"/>
      <c r="AX65"/>
      <c r="AY65"/>
      <c r="AZ65"/>
      <c r="EY65"/>
      <c r="EZ65"/>
      <c r="FA65"/>
      <c r="FB65"/>
      <c r="FC65"/>
      <c r="FD65"/>
      <c r="FE65"/>
      <c r="FF65"/>
      <c r="FG65"/>
      <c r="FH65"/>
      <c r="FI65"/>
      <c r="FJ65"/>
      <c r="FK65"/>
      <c r="FL65"/>
      <c r="FM65"/>
      <c r="FN65"/>
      <c r="FO65"/>
      <c r="FP65"/>
      <c r="FQ65" s="119" t="s">
        <v>529</v>
      </c>
      <c r="FR65">
        <v>2</v>
      </c>
      <c r="FS65">
        <v>123</v>
      </c>
      <c r="FT65">
        <v>125</v>
      </c>
      <c r="FU65"/>
      <c r="FV65"/>
      <c r="FW65"/>
      <c r="FX65"/>
      <c r="FY65"/>
      <c r="FZ65"/>
      <c r="GA65"/>
      <c r="GB65"/>
      <c r="GC65"/>
      <c r="GD65"/>
      <c r="GE65"/>
      <c r="GF65"/>
      <c r="GG65"/>
      <c r="GH65"/>
      <c r="GI65"/>
      <c r="GJ65"/>
      <c r="GK65"/>
      <c r="GL65"/>
      <c r="GM65"/>
    </row>
    <row r="66" spans="1:195" ht="14.4" x14ac:dyDescent="0.35">
      <c r="A66" s="152" t="s">
        <v>119</v>
      </c>
      <c r="B66" s="153"/>
      <c r="C66" s="35">
        <f>SUMIFS('Cumulative Test Coverage'!C:C,'Cumulative Test Coverage'!A:A,$C$5,'Cumulative Test Coverage'!B:B,A66)</f>
        <v>0</v>
      </c>
      <c r="D66" s="35">
        <f>SUMIFS('Cumulative Test Coverage'!D:D,'Cumulative Test Coverage'!A:A,$C$5,'Cumulative Test Coverage'!B:B,A66)</f>
        <v>0</v>
      </c>
      <c r="E66" s="41">
        <f>IFERROR(D66/D60,0)</f>
        <v>0</v>
      </c>
      <c r="F66" s="41">
        <f>IFERROR((C66+D66)/(C60+D60),0)</f>
        <v>0</v>
      </c>
      <c r="G66" s="15"/>
      <c r="H66" s="16"/>
      <c r="K66"/>
      <c r="L66"/>
      <c r="M66"/>
      <c r="N66"/>
      <c r="O66"/>
      <c r="P66"/>
      <c r="Q66"/>
      <c r="R66"/>
      <c r="S66"/>
      <c r="T66"/>
      <c r="U66"/>
      <c r="V66"/>
      <c r="AV66"/>
      <c r="AW66"/>
      <c r="AX66"/>
      <c r="AY66"/>
      <c r="AZ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row>
    <row r="67" spans="1:195" ht="14.4" x14ac:dyDescent="0.35">
      <c r="A67" s="152" t="s">
        <v>120</v>
      </c>
      <c r="B67" s="153"/>
      <c r="C67" s="35">
        <f>SUMIFS('Cumulative Test Coverage'!C:C,'Cumulative Test Coverage'!A:A,$C$5,'Cumulative Test Coverage'!B:B,A67)</f>
        <v>0</v>
      </c>
      <c r="D67" s="35">
        <f>SUMIFS('Cumulative Test Coverage'!D:D,'Cumulative Test Coverage'!A:A,$C$5,'Cumulative Test Coverage'!B:B,A67)</f>
        <v>0</v>
      </c>
      <c r="E67" s="41">
        <f>IFERROR(D67/D60,0)</f>
        <v>0</v>
      </c>
      <c r="F67" s="41">
        <f>IFERROR((C67+D67)/(C60+D60),0)</f>
        <v>0</v>
      </c>
      <c r="G67" s="15"/>
      <c r="H67" s="16"/>
      <c r="K67"/>
      <c r="L67"/>
      <c r="M67"/>
      <c r="N67"/>
      <c r="O67"/>
      <c r="P67"/>
      <c r="Q67"/>
      <c r="R67"/>
      <c r="S67"/>
      <c r="T67"/>
      <c r="U67"/>
      <c r="V67"/>
      <c r="AV67"/>
      <c r="AW67"/>
      <c r="AX67"/>
      <c r="AY67"/>
      <c r="AZ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row>
    <row r="68" spans="1:195" ht="14.4" x14ac:dyDescent="0.35">
      <c r="A68" s="152" t="s">
        <v>121</v>
      </c>
      <c r="B68" s="153"/>
      <c r="C68" s="35">
        <f>SUMIFS('Cumulative Test Coverage'!C:C,'Cumulative Test Coverage'!A:A,$C$5,'Cumulative Test Coverage'!B:B,A68)</f>
        <v>0</v>
      </c>
      <c r="D68" s="35">
        <f>SUMIFS('Cumulative Test Coverage'!D:D,'Cumulative Test Coverage'!A:A,$C$5,'Cumulative Test Coverage'!B:B,A68)</f>
        <v>0</v>
      </c>
      <c r="E68" s="41">
        <f>IFERROR(D68/D60,0)</f>
        <v>0</v>
      </c>
      <c r="F68" s="41">
        <f>IFERROR((C68+D68)/(C60+D60),0)</f>
        <v>0</v>
      </c>
      <c r="G68" s="15"/>
      <c r="H68" s="16"/>
      <c r="K68"/>
      <c r="L68"/>
      <c r="M68"/>
      <c r="N68"/>
      <c r="O68"/>
      <c r="P68"/>
      <c r="Q68"/>
      <c r="R68"/>
      <c r="S68"/>
      <c r="T68"/>
      <c r="U68"/>
      <c r="V68"/>
      <c r="AV68"/>
      <c r="AW68"/>
      <c r="AX68"/>
      <c r="AY68"/>
      <c r="AZ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row>
    <row r="69" spans="1:195" ht="14.4" x14ac:dyDescent="0.35">
      <c r="A69" s="162" t="s">
        <v>174</v>
      </c>
      <c r="B69" s="163"/>
      <c r="C69" s="42">
        <f>IFERROR(C63/C60,0)</f>
        <v>0.99295774647887325</v>
      </c>
      <c r="D69" s="42">
        <f>IFERROR(D63/D60,0)</f>
        <v>1</v>
      </c>
      <c r="E69" s="42">
        <f>IFERROR(D63/(C60+D60),0)</f>
        <v>0.72692307692307689</v>
      </c>
      <c r="F69" s="42">
        <f>IFERROR((C63+D63)/(C60+D60),0)</f>
        <v>0.99807692307692308</v>
      </c>
      <c r="G69" s="15"/>
      <c r="H69" s="16"/>
      <c r="K69"/>
      <c r="L69"/>
      <c r="M69"/>
      <c r="N69"/>
      <c r="O69"/>
      <c r="P69"/>
      <c r="Q69"/>
      <c r="R69"/>
      <c r="S69"/>
      <c r="T69"/>
      <c r="U69"/>
      <c r="V69"/>
      <c r="AV69"/>
      <c r="AW69"/>
      <c r="AX69"/>
      <c r="AY69"/>
      <c r="AZ69"/>
      <c r="EY69"/>
      <c r="EZ69"/>
      <c r="FA69"/>
      <c r="FB69"/>
      <c r="FC69"/>
      <c r="FD69"/>
      <c r="FE69"/>
      <c r="FF69"/>
      <c r="FG69"/>
      <c r="FH69"/>
      <c r="FI69"/>
      <c r="FJ69"/>
      <c r="FK69"/>
      <c r="FL69"/>
      <c r="FM69"/>
      <c r="FN69"/>
      <c r="FO69"/>
      <c r="FP69"/>
      <c r="FQ69"/>
      <c r="FR69"/>
      <c r="FS69"/>
      <c r="FT69"/>
      <c r="FU69"/>
    </row>
    <row r="70" spans="1:195" ht="14.4" x14ac:dyDescent="0.35">
      <c r="A70" s="145" t="s">
        <v>172</v>
      </c>
      <c r="B70" s="146"/>
      <c r="C70" s="146"/>
      <c r="D70" s="146"/>
      <c r="E70" s="146"/>
      <c r="F70" s="146"/>
      <c r="G70" s="146"/>
      <c r="H70" s="147"/>
      <c r="K70"/>
      <c r="L70"/>
      <c r="M70"/>
      <c r="N70"/>
      <c r="O70"/>
      <c r="P70"/>
      <c r="Q70"/>
      <c r="R70"/>
      <c r="S70"/>
      <c r="T70"/>
      <c r="U70"/>
      <c r="V70"/>
      <c r="AV70"/>
      <c r="AW70"/>
      <c r="AX70"/>
      <c r="AY70"/>
      <c r="AZ70"/>
      <c r="EY70"/>
      <c r="EZ70"/>
      <c r="FA70"/>
      <c r="FB70"/>
      <c r="FC70"/>
      <c r="FD70"/>
      <c r="FE70"/>
      <c r="FF70"/>
      <c r="FG70"/>
      <c r="FH70"/>
      <c r="FI70"/>
      <c r="FJ70"/>
      <c r="FK70"/>
      <c r="FL70"/>
      <c r="FM70"/>
      <c r="FN70"/>
      <c r="FO70"/>
      <c r="FP70"/>
      <c r="FQ70"/>
      <c r="FR70"/>
      <c r="FS70"/>
      <c r="FT70"/>
      <c r="FU70"/>
    </row>
    <row r="71" spans="1:195" ht="14.4" x14ac:dyDescent="0.35">
      <c r="A71" s="15"/>
      <c r="B71" s="15"/>
      <c r="C71" s="15"/>
      <c r="D71" s="15"/>
      <c r="E71" s="15"/>
      <c r="F71" s="15"/>
      <c r="G71" s="15"/>
      <c r="H71" s="16"/>
      <c r="K71"/>
      <c r="L71"/>
      <c r="M71"/>
      <c r="N71"/>
      <c r="O71"/>
      <c r="P71"/>
      <c r="Q71"/>
      <c r="R71"/>
      <c r="S71"/>
      <c r="T71"/>
      <c r="U71"/>
      <c r="V71"/>
      <c r="AV71"/>
      <c r="AW71"/>
      <c r="AX71"/>
      <c r="AY71"/>
      <c r="AZ71"/>
      <c r="EY71"/>
      <c r="EZ71"/>
      <c r="FA71"/>
      <c r="FB71"/>
      <c r="FC71"/>
      <c r="FD71"/>
      <c r="FE71"/>
      <c r="FF71"/>
      <c r="FG71"/>
      <c r="FH71"/>
      <c r="FI71"/>
      <c r="FJ71"/>
      <c r="FK71"/>
      <c r="FL71"/>
      <c r="FM71"/>
      <c r="FN71"/>
      <c r="FO71"/>
      <c r="FP71"/>
      <c r="FQ71"/>
      <c r="FR71"/>
      <c r="FS71"/>
      <c r="FT71"/>
      <c r="FU71"/>
    </row>
    <row r="72" spans="1:195" ht="14.4" x14ac:dyDescent="0.35">
      <c r="A72" s="15"/>
      <c r="B72" s="15"/>
      <c r="C72" s="15"/>
      <c r="D72" s="15"/>
      <c r="E72" s="15"/>
      <c r="F72" s="15"/>
      <c r="G72" s="15"/>
      <c r="H72" s="16"/>
      <c r="K72"/>
      <c r="L72"/>
      <c r="M72"/>
      <c r="N72"/>
      <c r="O72"/>
      <c r="P72"/>
      <c r="Q72"/>
      <c r="R72"/>
      <c r="S72"/>
      <c r="T72"/>
      <c r="U72"/>
      <c r="V72"/>
      <c r="AV72"/>
      <c r="AW72"/>
      <c r="AX72"/>
      <c r="AY72"/>
      <c r="AZ72"/>
      <c r="EY72"/>
      <c r="EZ72"/>
      <c r="FA72"/>
      <c r="FB72"/>
      <c r="FC72"/>
      <c r="FD72"/>
      <c r="FE72"/>
      <c r="FF72"/>
      <c r="FG72"/>
      <c r="FH72"/>
      <c r="FI72"/>
      <c r="FJ72"/>
      <c r="FK72"/>
      <c r="FL72"/>
      <c r="FM72"/>
      <c r="FN72"/>
      <c r="FO72"/>
      <c r="FP72"/>
      <c r="FQ72"/>
      <c r="FR72"/>
      <c r="FS72"/>
      <c r="FT72"/>
      <c r="FU72"/>
    </row>
    <row r="73" spans="1:195" ht="24" x14ac:dyDescent="0.35">
      <c r="A73" s="148" t="s">
        <v>237</v>
      </c>
      <c r="B73" s="149"/>
      <c r="C73" s="39" t="s">
        <v>173</v>
      </c>
      <c r="D73" s="39" t="s">
        <v>113</v>
      </c>
      <c r="E73" s="39" t="s">
        <v>124</v>
      </c>
      <c r="F73" s="34" t="s">
        <v>114</v>
      </c>
      <c r="G73" s="15"/>
      <c r="H73" s="16"/>
      <c r="K73"/>
      <c r="L73"/>
      <c r="M73"/>
      <c r="N73"/>
      <c r="O73"/>
      <c r="P73"/>
      <c r="Q73"/>
      <c r="R73"/>
      <c r="S73"/>
      <c r="T73"/>
      <c r="U73"/>
      <c r="V73"/>
      <c r="AV73"/>
      <c r="AW73"/>
      <c r="AX73"/>
      <c r="AY73"/>
      <c r="AZ73"/>
      <c r="EY73"/>
      <c r="EZ73"/>
      <c r="FA73"/>
      <c r="FB73"/>
      <c r="FC73"/>
      <c r="FD73"/>
      <c r="FE73"/>
      <c r="FF73"/>
      <c r="FG73"/>
      <c r="FH73"/>
      <c r="FI73"/>
      <c r="FJ73"/>
      <c r="FK73"/>
      <c r="FL73"/>
      <c r="FM73"/>
      <c r="FN73"/>
      <c r="FO73"/>
      <c r="FP73"/>
      <c r="FQ73"/>
      <c r="FR73"/>
      <c r="FS73"/>
      <c r="FT73"/>
      <c r="FU73"/>
    </row>
    <row r="74" spans="1:195" ht="14.4" x14ac:dyDescent="0.35">
      <c r="A74" s="150" t="s">
        <v>236</v>
      </c>
      <c r="B74" s="151"/>
      <c r="C74" s="35">
        <f>SUMIFS('Cumulative Test Coverage'!C:C,'Cumulative Test Coverage'!B:B,A74)</f>
        <v>414</v>
      </c>
      <c r="D74" s="35">
        <f>SUMIFS('Cumulative Test Coverage'!D:D,'Cumulative Test Coverage'!B:B,A74)</f>
        <v>1026</v>
      </c>
      <c r="E74" s="37">
        <f>IFERROR(D74/(D74+C74),0)</f>
        <v>0.71250000000000002</v>
      </c>
      <c r="F74" s="41">
        <f>IFERROR((C74+D74)/(C72),0)</f>
        <v>0</v>
      </c>
      <c r="G74" s="15"/>
      <c r="H74" s="16"/>
      <c r="K74"/>
      <c r="L74"/>
      <c r="M74"/>
      <c r="N74"/>
      <c r="O74"/>
      <c r="P74"/>
      <c r="Q74"/>
      <c r="R74"/>
      <c r="S74"/>
      <c r="T74"/>
      <c r="U74"/>
      <c r="V74"/>
      <c r="AV74"/>
      <c r="AW74"/>
      <c r="AX74"/>
      <c r="AY74"/>
      <c r="AZ74"/>
      <c r="EY74"/>
      <c r="EZ74"/>
      <c r="FA74"/>
      <c r="FB74"/>
      <c r="FC74"/>
      <c r="FD74"/>
      <c r="FE74"/>
      <c r="FF74"/>
      <c r="FG74"/>
      <c r="FH74"/>
      <c r="FI74"/>
      <c r="FJ74"/>
      <c r="FK74"/>
      <c r="FL74"/>
      <c r="FM74"/>
      <c r="FN74"/>
      <c r="FO74"/>
      <c r="FP74"/>
      <c r="FQ74"/>
      <c r="FR74"/>
      <c r="FS74"/>
      <c r="FT74"/>
      <c r="FU74"/>
    </row>
    <row r="75" spans="1:195" ht="14.4" x14ac:dyDescent="0.35">
      <c r="A75" s="150" t="s">
        <v>115</v>
      </c>
      <c r="B75" s="151"/>
      <c r="C75" s="35">
        <f>SUMIFS('Cumulative Test Coverage'!C:C,'Cumulative Test Coverage'!B:B,A75)</f>
        <v>349</v>
      </c>
      <c r="D75" s="35">
        <f>SUMIFS('Cumulative Test Coverage'!D:D,'Cumulative Test Coverage'!B:B,A75)</f>
        <v>885</v>
      </c>
      <c r="E75" s="37">
        <f>IFERROR(D75/(D75+C75),0)</f>
        <v>0.71717990275526744</v>
      </c>
      <c r="F75" s="41">
        <f>IFERROR((C75+D75)/(C74+D74),0)</f>
        <v>0.8569444444444444</v>
      </c>
      <c r="G75" s="15"/>
      <c r="H75" s="16"/>
      <c r="K75"/>
      <c r="L75"/>
      <c r="M75"/>
      <c r="N75"/>
      <c r="O75"/>
      <c r="P75"/>
      <c r="Q75"/>
      <c r="R75"/>
      <c r="S75"/>
      <c r="T75"/>
      <c r="U75"/>
      <c r="V75"/>
      <c r="AV75"/>
      <c r="AW75"/>
      <c r="AX75"/>
      <c r="AY75"/>
      <c r="AZ75"/>
      <c r="EY75"/>
      <c r="EZ75"/>
      <c r="FA75"/>
      <c r="FB75"/>
      <c r="FC75"/>
      <c r="FD75"/>
      <c r="FE75"/>
      <c r="FF75"/>
      <c r="FG75"/>
      <c r="FH75"/>
      <c r="FI75"/>
      <c r="FJ75"/>
      <c r="FK75"/>
      <c r="FL75"/>
      <c r="FM75"/>
      <c r="FN75"/>
      <c r="FO75"/>
      <c r="FP75"/>
      <c r="FQ75"/>
      <c r="FR75"/>
      <c r="FS75"/>
      <c r="FT75"/>
      <c r="FU75"/>
    </row>
    <row r="76" spans="1:195" ht="14.4" x14ac:dyDescent="0.35">
      <c r="A76" s="152" t="s">
        <v>116</v>
      </c>
      <c r="B76" s="153"/>
      <c r="C76" s="35">
        <f>SUMIFS('Cumulative Test Coverage'!C:C,'Cumulative Test Coverage'!B:B,A76)</f>
        <v>347</v>
      </c>
      <c r="D76" s="35">
        <f>SUMIFS('Cumulative Test Coverage'!D:D,'Cumulative Test Coverage'!B:B,A76)</f>
        <v>879</v>
      </c>
      <c r="E76" s="41">
        <f>IFERROR(D76/D75,0)</f>
        <v>0.99322033898305084</v>
      </c>
      <c r="F76" s="41">
        <f>IFERROR((C76+D76)/(C75+D75),0)</f>
        <v>0.99351701782820101</v>
      </c>
      <c r="G76" s="15"/>
      <c r="H76" s="16"/>
      <c r="K76"/>
      <c r="L76"/>
      <c r="M76"/>
      <c r="N76"/>
      <c r="O76"/>
      <c r="P76"/>
      <c r="Q76"/>
      <c r="R76"/>
      <c r="S76"/>
      <c r="T76"/>
      <c r="U76"/>
      <c r="V76"/>
      <c r="AV76"/>
      <c r="AW76"/>
      <c r="AX76"/>
      <c r="AY76"/>
      <c r="AZ76"/>
      <c r="EY76"/>
      <c r="EZ76"/>
      <c r="FA76"/>
      <c r="FB76"/>
      <c r="FC76"/>
      <c r="FD76"/>
      <c r="FE76"/>
      <c r="FF76"/>
      <c r="FG76"/>
      <c r="FH76"/>
      <c r="FI76"/>
      <c r="FJ76"/>
      <c r="FK76"/>
      <c r="FL76"/>
      <c r="FM76"/>
      <c r="FN76"/>
      <c r="FO76"/>
      <c r="FP76"/>
      <c r="FQ76"/>
      <c r="FR76"/>
      <c r="FS76"/>
      <c r="FT76"/>
      <c r="FU76"/>
    </row>
    <row r="77" spans="1:195" ht="14.4" x14ac:dyDescent="0.35">
      <c r="A77" s="152" t="s">
        <v>117</v>
      </c>
      <c r="B77" s="153"/>
      <c r="C77" s="35">
        <f>SUMIFS('Cumulative Test Coverage'!C:C,'Cumulative Test Coverage'!B:B,A77)</f>
        <v>2</v>
      </c>
      <c r="D77" s="35">
        <f>SUMIFS('Cumulative Test Coverage'!D:D,'Cumulative Test Coverage'!B:B,A77)</f>
        <v>6</v>
      </c>
      <c r="E77" s="41">
        <f>IFERROR(D77/D75,0)</f>
        <v>6.7796610169491523E-3</v>
      </c>
      <c r="F77" s="41">
        <f>IFERROR((C77+D77)/(C75+D75),0)</f>
        <v>6.4829821717990272E-3</v>
      </c>
      <c r="G77" s="15"/>
      <c r="H77" s="16"/>
      <c r="K77"/>
      <c r="L77"/>
      <c r="M77"/>
      <c r="N77"/>
      <c r="O77"/>
      <c r="P77"/>
      <c r="Q77"/>
      <c r="R77"/>
      <c r="S77"/>
      <c r="T77"/>
      <c r="U77"/>
      <c r="V77"/>
      <c r="AV77"/>
      <c r="AW77"/>
      <c r="AX77"/>
      <c r="AY77"/>
      <c r="AZ77"/>
      <c r="EY77"/>
      <c r="EZ77"/>
      <c r="FA77"/>
      <c r="FB77"/>
      <c r="FC77"/>
      <c r="FD77"/>
      <c r="FE77"/>
      <c r="FF77"/>
      <c r="FG77"/>
      <c r="FH77"/>
      <c r="FI77"/>
      <c r="FJ77"/>
      <c r="FK77"/>
      <c r="FL77"/>
      <c r="FM77"/>
      <c r="FN77"/>
      <c r="FO77"/>
      <c r="FP77"/>
      <c r="FQ77"/>
      <c r="FR77"/>
      <c r="FS77"/>
      <c r="FT77"/>
      <c r="FU77"/>
    </row>
    <row r="78" spans="1:195" ht="14.4" x14ac:dyDescent="0.35">
      <c r="A78" s="152" t="s">
        <v>118</v>
      </c>
      <c r="B78" s="153"/>
      <c r="C78" s="35">
        <f>SUMIFS('Cumulative Test Coverage'!C:C,'Cumulative Test Coverage'!B:B,A78)</f>
        <v>0</v>
      </c>
      <c r="D78" s="35">
        <f>SUMIFS('Cumulative Test Coverage'!D:D,'Cumulative Test Coverage'!B:B,A78)</f>
        <v>0</v>
      </c>
      <c r="E78" s="41">
        <f>IFERROR(D78/D74,0)</f>
        <v>0</v>
      </c>
      <c r="F78" s="41">
        <f>IFERROR((C78+D78)/(C75+D75),0)</f>
        <v>0</v>
      </c>
      <c r="G78" s="15"/>
      <c r="H78" s="16"/>
      <c r="K78"/>
      <c r="L78"/>
      <c r="M78"/>
      <c r="N78"/>
      <c r="O78"/>
      <c r="P78"/>
      <c r="Q78"/>
      <c r="R78"/>
      <c r="S78"/>
      <c r="T78"/>
      <c r="U78"/>
      <c r="V78"/>
      <c r="AV78"/>
      <c r="AW78"/>
      <c r="AX78"/>
      <c r="AY78"/>
      <c r="AZ78"/>
      <c r="EY78"/>
      <c r="EZ78"/>
      <c r="FA78"/>
      <c r="FQ78"/>
      <c r="FR78"/>
      <c r="FS78"/>
      <c r="FT78"/>
    </row>
    <row r="79" spans="1:195" ht="14.4" x14ac:dyDescent="0.35">
      <c r="A79" s="152" t="s">
        <v>119</v>
      </c>
      <c r="B79" s="153"/>
      <c r="C79" s="35">
        <f>SUMIFS('Cumulative Test Coverage'!C:C,'Cumulative Test Coverage'!B:B,A79)</f>
        <v>0</v>
      </c>
      <c r="D79" s="35">
        <f>SUMIFS('Cumulative Test Coverage'!D:D,'Cumulative Test Coverage'!B:B,A79)</f>
        <v>0</v>
      </c>
      <c r="E79" s="41">
        <f>IFERROR(D79/D74,0)</f>
        <v>0</v>
      </c>
      <c r="F79" s="41">
        <f>IFERROR((C79+D79)/(C74+D74),0)</f>
        <v>0</v>
      </c>
      <c r="G79" s="15"/>
      <c r="H79" s="16"/>
      <c r="K79"/>
      <c r="L79"/>
      <c r="M79"/>
      <c r="N79"/>
      <c r="O79"/>
      <c r="P79"/>
      <c r="Q79"/>
      <c r="R79"/>
      <c r="S79"/>
      <c r="T79"/>
      <c r="U79"/>
      <c r="V79"/>
      <c r="AV79"/>
      <c r="AW79"/>
      <c r="AX79"/>
      <c r="AY79"/>
      <c r="AZ79"/>
      <c r="EY79"/>
      <c r="EZ79"/>
      <c r="FA79"/>
      <c r="FQ79"/>
      <c r="FR79"/>
      <c r="FS79"/>
      <c r="FT79"/>
    </row>
    <row r="80" spans="1:195" ht="14.4" x14ac:dyDescent="0.35">
      <c r="A80" s="152" t="s">
        <v>120</v>
      </c>
      <c r="B80" s="153"/>
      <c r="C80" s="35">
        <f>SUMIFS('Cumulative Test Coverage'!C:C,'Cumulative Test Coverage'!B:B,A80)</f>
        <v>0</v>
      </c>
      <c r="D80" s="35">
        <f>SUMIFS('Cumulative Test Coverage'!D:D,'Cumulative Test Coverage'!B:B,A80)</f>
        <v>0</v>
      </c>
      <c r="E80" s="41">
        <f>IFERROR(D80/D74,0)</f>
        <v>0</v>
      </c>
      <c r="F80" s="41">
        <f>IFERROR((C80+D80)/(C74+D74),0)</f>
        <v>0</v>
      </c>
      <c r="G80" s="15"/>
      <c r="H80" s="16"/>
      <c r="K80"/>
      <c r="L80"/>
      <c r="M80"/>
      <c r="N80"/>
      <c r="O80"/>
      <c r="P80"/>
      <c r="Q80"/>
      <c r="R80"/>
      <c r="S80"/>
      <c r="T80"/>
      <c r="U80"/>
      <c r="V80"/>
      <c r="AV80"/>
      <c r="AW80"/>
      <c r="AX80"/>
      <c r="AY80"/>
      <c r="AZ80"/>
      <c r="EY80"/>
      <c r="EZ80"/>
      <c r="FA80"/>
      <c r="FQ80"/>
      <c r="FR80"/>
      <c r="FS80"/>
      <c r="FT80"/>
    </row>
    <row r="81" spans="1:176" ht="14.4" x14ac:dyDescent="0.35">
      <c r="A81" s="152" t="s">
        <v>121</v>
      </c>
      <c r="B81" s="153"/>
      <c r="C81" s="35">
        <f>SUMIFS('Cumulative Test Coverage'!C:C,'Cumulative Test Coverage'!B:B,A81)</f>
        <v>0</v>
      </c>
      <c r="D81" s="35">
        <f>SUMIFS('Cumulative Test Coverage'!D:D,'Cumulative Test Coverage'!B:B,A81)</f>
        <v>0</v>
      </c>
      <c r="E81" s="41">
        <f>IFERROR(D81/D74,0)</f>
        <v>0</v>
      </c>
      <c r="F81" s="41">
        <f>IFERROR((C81+D81)/(C74+D74),0)</f>
        <v>0</v>
      </c>
      <c r="G81" s="15"/>
      <c r="H81" s="16"/>
      <c r="K81"/>
      <c r="L81"/>
      <c r="M81"/>
      <c r="N81"/>
      <c r="O81"/>
      <c r="P81"/>
      <c r="Q81"/>
      <c r="R81"/>
      <c r="S81"/>
      <c r="T81"/>
      <c r="U81"/>
      <c r="V81"/>
      <c r="AV81"/>
      <c r="AW81"/>
      <c r="AX81"/>
      <c r="AY81"/>
      <c r="AZ81"/>
      <c r="EY81"/>
      <c r="EZ81"/>
      <c r="FA81"/>
      <c r="FQ81"/>
      <c r="FR81"/>
      <c r="FS81"/>
      <c r="FT81"/>
    </row>
    <row r="82" spans="1:176" ht="14.4" x14ac:dyDescent="0.35">
      <c r="A82" s="162" t="s">
        <v>174</v>
      </c>
      <c r="B82" s="163"/>
      <c r="C82" s="42">
        <f>IFERROR(C76/C74,0)</f>
        <v>0.83816425120772942</v>
      </c>
      <c r="D82" s="42">
        <f>IFERROR(D76/D74,0)</f>
        <v>0.85672514619883045</v>
      </c>
      <c r="E82" s="42">
        <f>IFERROR(D76/(C74+D74),0)</f>
        <v>0.61041666666666672</v>
      </c>
      <c r="F82" s="42">
        <f>IFERROR((C76+D76)/(C74+D74),0)</f>
        <v>0.85138888888888886</v>
      </c>
      <c r="G82" s="15"/>
      <c r="H82" s="16"/>
      <c r="K82"/>
      <c r="L82"/>
      <c r="M82"/>
      <c r="N82"/>
      <c r="O82"/>
      <c r="P82"/>
      <c r="Q82"/>
      <c r="R82"/>
      <c r="S82"/>
      <c r="T82"/>
      <c r="U82"/>
      <c r="V82"/>
      <c r="AV82"/>
      <c r="AW82"/>
      <c r="AX82"/>
      <c r="AY82"/>
      <c r="AZ82"/>
      <c r="EY82"/>
      <c r="EZ82"/>
      <c r="FA82"/>
      <c r="FQ82"/>
      <c r="FR82"/>
      <c r="FS82"/>
      <c r="FT82"/>
    </row>
    <row r="83" spans="1:176" ht="14.4" x14ac:dyDescent="0.35">
      <c r="A83" s="145" t="s">
        <v>172</v>
      </c>
      <c r="B83" s="146"/>
      <c r="C83" s="146"/>
      <c r="D83" s="146"/>
      <c r="E83" s="146"/>
      <c r="F83" s="146"/>
      <c r="G83" s="146"/>
      <c r="H83" s="147"/>
      <c r="K83"/>
      <c r="L83"/>
      <c r="M83"/>
      <c r="N83"/>
      <c r="O83"/>
      <c r="P83"/>
      <c r="Q83"/>
      <c r="R83"/>
      <c r="S83"/>
      <c r="T83"/>
      <c r="U83"/>
      <c r="V83"/>
      <c r="EY83"/>
      <c r="EZ83"/>
      <c r="FA83"/>
      <c r="FQ83"/>
      <c r="FR83"/>
      <c r="FS83"/>
      <c r="FT83"/>
    </row>
    <row r="84" spans="1:176" ht="14.4" x14ac:dyDescent="0.35">
      <c r="A84" s="15"/>
      <c r="B84" s="15"/>
      <c r="C84" s="15"/>
      <c r="D84" s="15"/>
      <c r="E84" s="15"/>
      <c r="F84" s="15"/>
      <c r="G84" s="15"/>
      <c r="H84" s="16"/>
      <c r="K84"/>
      <c r="L84"/>
      <c r="M84"/>
      <c r="N84"/>
      <c r="O84"/>
      <c r="P84"/>
      <c r="Q84"/>
      <c r="R84"/>
      <c r="S84"/>
      <c r="T84"/>
      <c r="U84"/>
      <c r="V84"/>
      <c r="EY84"/>
      <c r="EZ84"/>
      <c r="FA84"/>
      <c r="FQ84"/>
      <c r="FR84"/>
      <c r="FS84"/>
      <c r="FT84"/>
    </row>
    <row r="85" spans="1:176" ht="14.4" x14ac:dyDescent="0.35">
      <c r="A85" s="15"/>
      <c r="B85" s="15"/>
      <c r="C85" s="15"/>
      <c r="D85" s="15"/>
      <c r="E85" s="15"/>
      <c r="F85" s="15"/>
      <c r="G85" s="15"/>
      <c r="H85" s="16"/>
      <c r="K85"/>
      <c r="L85"/>
      <c r="EY85"/>
      <c r="EZ85"/>
      <c r="FA85"/>
      <c r="FQ85"/>
      <c r="FR85"/>
      <c r="FS85"/>
      <c r="FT85"/>
    </row>
    <row r="86" spans="1:176" ht="14.4" x14ac:dyDescent="0.35">
      <c r="A86" s="136" t="s">
        <v>175</v>
      </c>
      <c r="B86" s="136"/>
      <c r="C86" s="15"/>
      <c r="D86" s="15"/>
      <c r="E86" s="15"/>
      <c r="F86" s="15"/>
      <c r="G86" s="15"/>
      <c r="H86" s="16"/>
      <c r="K86"/>
      <c r="L86"/>
      <c r="EY86"/>
      <c r="EZ86"/>
      <c r="FA86"/>
      <c r="FQ86"/>
      <c r="FR86"/>
      <c r="FS86"/>
      <c r="FT86"/>
    </row>
    <row r="87" spans="1:176" ht="14.4" x14ac:dyDescent="0.35">
      <c r="A87" s="164" t="s">
        <v>176</v>
      </c>
      <c r="B87" s="165"/>
      <c r="C87" s="166" t="s">
        <v>177</v>
      </c>
      <c r="D87" s="166"/>
      <c r="E87" s="166" t="s">
        <v>178</v>
      </c>
      <c r="F87" s="166"/>
      <c r="G87" s="166" t="s">
        <v>179</v>
      </c>
      <c r="H87" s="166"/>
      <c r="K87"/>
      <c r="L87"/>
      <c r="EY87"/>
      <c r="EZ87"/>
      <c r="FA87"/>
      <c r="FQ87"/>
      <c r="FR87"/>
      <c r="FS87"/>
      <c r="FT87"/>
    </row>
    <row r="88" spans="1:176" ht="14.4" x14ac:dyDescent="0.35">
      <c r="A88" s="167" t="s">
        <v>242</v>
      </c>
      <c r="B88" s="167"/>
      <c r="C88" s="168">
        <v>0</v>
      </c>
      <c r="D88" s="168"/>
      <c r="E88" s="168">
        <v>0</v>
      </c>
      <c r="F88" s="168"/>
      <c r="G88" s="168"/>
      <c r="H88" s="168"/>
      <c r="K88"/>
      <c r="L88"/>
      <c r="EY88"/>
      <c r="EZ88"/>
      <c r="FA88"/>
      <c r="FQ88"/>
      <c r="FR88"/>
      <c r="FS88"/>
      <c r="FT88"/>
    </row>
    <row r="89" spans="1:176" ht="14.4" x14ac:dyDescent="0.35">
      <c r="A89" s="167" t="s">
        <v>243</v>
      </c>
      <c r="B89" s="167"/>
      <c r="C89" s="168">
        <v>0</v>
      </c>
      <c r="D89" s="168"/>
      <c r="E89" s="168">
        <v>0</v>
      </c>
      <c r="F89" s="168"/>
      <c r="G89" s="168"/>
      <c r="H89" s="168"/>
      <c r="K89"/>
      <c r="L89"/>
      <c r="EY89"/>
      <c r="EZ89"/>
      <c r="FA89"/>
      <c r="FQ89"/>
      <c r="FR89"/>
      <c r="FS89"/>
      <c r="FT89"/>
    </row>
    <row r="90" spans="1:176" ht="14.4" x14ac:dyDescent="0.35">
      <c r="A90" s="167" t="s">
        <v>244</v>
      </c>
      <c r="B90" s="167"/>
      <c r="C90" s="168">
        <v>0</v>
      </c>
      <c r="D90" s="168"/>
      <c r="E90" s="168">
        <v>0</v>
      </c>
      <c r="F90" s="168"/>
      <c r="G90" s="168"/>
      <c r="H90" s="168"/>
      <c r="K90"/>
      <c r="L90"/>
      <c r="EY90"/>
      <c r="EZ90"/>
      <c r="FA90"/>
      <c r="FQ90"/>
      <c r="FR90"/>
      <c r="FS90"/>
      <c r="FT90"/>
    </row>
    <row r="91" spans="1:176" ht="14.4" x14ac:dyDescent="0.35">
      <c r="A91" s="167" t="s">
        <v>238</v>
      </c>
      <c r="B91" s="167"/>
      <c r="C91" s="168">
        <v>0</v>
      </c>
      <c r="D91" s="168"/>
      <c r="E91" s="168">
        <v>0</v>
      </c>
      <c r="F91" s="168"/>
      <c r="G91" s="168"/>
      <c r="H91" s="168"/>
      <c r="K91"/>
      <c r="L91"/>
      <c r="EY91"/>
      <c r="EZ91"/>
      <c r="FA91"/>
      <c r="FQ91"/>
      <c r="FR91"/>
      <c r="FS91"/>
      <c r="FT91"/>
    </row>
    <row r="92" spans="1:176" ht="14.4" x14ac:dyDescent="0.35">
      <c r="A92" s="167" t="s">
        <v>245</v>
      </c>
      <c r="B92" s="167"/>
      <c r="C92" s="168">
        <v>0</v>
      </c>
      <c r="D92" s="168"/>
      <c r="E92" s="168">
        <v>0</v>
      </c>
      <c r="F92" s="168"/>
      <c r="G92" s="168"/>
      <c r="H92" s="168"/>
      <c r="K92"/>
      <c r="L92"/>
      <c r="EY92"/>
      <c r="EZ92"/>
      <c r="FA92"/>
      <c r="FQ92"/>
      <c r="FR92"/>
      <c r="FS92"/>
      <c r="FT92"/>
    </row>
    <row r="93" spans="1:176" ht="14.4" x14ac:dyDescent="0.35">
      <c r="A93" s="167" t="s">
        <v>246</v>
      </c>
      <c r="B93" s="167"/>
      <c r="C93" s="168">
        <v>0</v>
      </c>
      <c r="D93" s="168"/>
      <c r="E93" s="168">
        <v>0</v>
      </c>
      <c r="F93" s="168"/>
      <c r="G93" s="168"/>
      <c r="H93" s="168"/>
      <c r="K93"/>
      <c r="L93"/>
      <c r="EY93"/>
      <c r="EZ93"/>
      <c r="FA93"/>
      <c r="FQ93"/>
      <c r="FR93"/>
      <c r="FS93"/>
      <c r="FT93"/>
    </row>
    <row r="94" spans="1:176" ht="14.4" x14ac:dyDescent="0.35">
      <c r="A94" s="167" t="s">
        <v>247</v>
      </c>
      <c r="B94" s="167"/>
      <c r="C94" s="168">
        <v>0</v>
      </c>
      <c r="D94" s="168"/>
      <c r="E94" s="168">
        <v>0</v>
      </c>
      <c r="F94" s="168"/>
      <c r="G94" s="168"/>
      <c r="H94" s="168"/>
      <c r="K94"/>
      <c r="L94"/>
      <c r="EY94"/>
      <c r="EZ94"/>
      <c r="FA94"/>
      <c r="FQ94"/>
      <c r="FR94"/>
      <c r="FS94"/>
      <c r="FT94"/>
    </row>
    <row r="95" spans="1:176" ht="14.4" x14ac:dyDescent="0.35">
      <c r="A95" s="167" t="s">
        <v>248</v>
      </c>
      <c r="B95" s="167"/>
      <c r="C95" s="168">
        <v>0</v>
      </c>
      <c r="D95" s="168"/>
      <c r="E95" s="168">
        <v>0</v>
      </c>
      <c r="F95" s="168"/>
      <c r="G95" s="168"/>
      <c r="H95" s="168"/>
      <c r="K95"/>
      <c r="L95"/>
      <c r="EY95"/>
      <c r="EZ95"/>
      <c r="FA95"/>
      <c r="FQ95"/>
      <c r="FR95"/>
      <c r="FS95"/>
      <c r="FT95"/>
    </row>
    <row r="96" spans="1:176" ht="14.4" x14ac:dyDescent="0.35">
      <c r="A96" s="167" t="s">
        <v>249</v>
      </c>
      <c r="B96" s="167"/>
      <c r="C96" s="168">
        <v>0</v>
      </c>
      <c r="D96" s="168"/>
      <c r="E96" s="168">
        <v>0</v>
      </c>
      <c r="F96" s="168"/>
      <c r="G96" s="168"/>
      <c r="H96" s="168"/>
      <c r="K96"/>
      <c r="L96"/>
      <c r="EY96"/>
      <c r="EZ96"/>
      <c r="FA96"/>
      <c r="FQ96"/>
      <c r="FR96"/>
      <c r="FS96"/>
      <c r="FT96"/>
    </row>
    <row r="97" spans="1:176" ht="14.4" x14ac:dyDescent="0.35">
      <c r="A97" s="167" t="s">
        <v>250</v>
      </c>
      <c r="B97" s="167"/>
      <c r="C97" s="168">
        <v>0</v>
      </c>
      <c r="D97" s="168"/>
      <c r="E97" s="168">
        <v>0</v>
      </c>
      <c r="F97" s="168"/>
      <c r="G97" s="168"/>
      <c r="H97" s="168"/>
      <c r="K97"/>
      <c r="L97"/>
      <c r="EY97"/>
      <c r="EZ97"/>
      <c r="FA97"/>
      <c r="FQ97"/>
      <c r="FR97"/>
      <c r="FS97"/>
      <c r="FT97"/>
    </row>
    <row r="98" spans="1:176" ht="14.4" x14ac:dyDescent="0.35">
      <c r="A98" s="167" t="s">
        <v>251</v>
      </c>
      <c r="B98" s="167"/>
      <c r="C98" s="168">
        <v>0</v>
      </c>
      <c r="D98" s="168"/>
      <c r="E98" s="168">
        <v>0</v>
      </c>
      <c r="F98" s="168"/>
      <c r="G98" s="168"/>
      <c r="H98" s="168"/>
      <c r="K98"/>
      <c r="L98"/>
      <c r="EY98"/>
      <c r="EZ98"/>
      <c r="FA98"/>
      <c r="FQ98"/>
      <c r="FR98"/>
      <c r="FS98"/>
      <c r="FT98"/>
    </row>
    <row r="99" spans="1:176" ht="14.4" x14ac:dyDescent="0.35">
      <c r="A99" s="167" t="s">
        <v>252</v>
      </c>
      <c r="B99" s="167"/>
      <c r="C99" s="168">
        <v>0</v>
      </c>
      <c r="D99" s="168"/>
      <c r="E99" s="168">
        <v>0</v>
      </c>
      <c r="F99" s="168"/>
      <c r="G99" s="168"/>
      <c r="H99" s="168"/>
      <c r="K99"/>
      <c r="L99"/>
      <c r="EY99"/>
      <c r="EZ99"/>
      <c r="FA99"/>
      <c r="FQ99"/>
      <c r="FR99"/>
      <c r="FS99"/>
      <c r="FT99"/>
    </row>
    <row r="100" spans="1:176" ht="14.4" x14ac:dyDescent="0.35">
      <c r="A100" s="167" t="s">
        <v>253</v>
      </c>
      <c r="B100" s="167"/>
      <c r="C100" s="168">
        <v>0</v>
      </c>
      <c r="D100" s="168"/>
      <c r="E100" s="168">
        <v>0</v>
      </c>
      <c r="F100" s="168"/>
      <c r="G100" s="168"/>
      <c r="H100" s="168"/>
      <c r="K100"/>
      <c r="L100"/>
      <c r="EY100"/>
      <c r="EZ100"/>
      <c r="FA100"/>
      <c r="FQ100"/>
      <c r="FR100"/>
      <c r="FS100"/>
      <c r="FT100"/>
    </row>
    <row r="101" spans="1:176" ht="14.4" x14ac:dyDescent="0.35">
      <c r="A101" s="167" t="s">
        <v>254</v>
      </c>
      <c r="B101" s="167"/>
      <c r="C101" s="168">
        <v>0</v>
      </c>
      <c r="D101" s="168"/>
      <c r="E101" s="168">
        <v>0</v>
      </c>
      <c r="F101" s="168"/>
      <c r="G101" s="168"/>
      <c r="H101" s="168"/>
      <c r="K101"/>
      <c r="L101"/>
      <c r="EY101"/>
      <c r="EZ101"/>
      <c r="FA101"/>
      <c r="FQ101"/>
      <c r="FR101"/>
      <c r="FS101"/>
      <c r="FT101"/>
    </row>
    <row r="102" spans="1:176" ht="14.4" x14ac:dyDescent="0.35">
      <c r="A102" s="167" t="s">
        <v>255</v>
      </c>
      <c r="B102" s="167"/>
      <c r="C102" s="168">
        <v>0</v>
      </c>
      <c r="D102" s="168"/>
      <c r="E102" s="168">
        <v>0</v>
      </c>
      <c r="F102" s="168"/>
      <c r="G102" s="168"/>
      <c r="H102" s="168"/>
      <c r="EY102"/>
      <c r="EZ102"/>
      <c r="FA102"/>
      <c r="FQ102"/>
      <c r="FR102"/>
      <c r="FS102"/>
      <c r="FT102"/>
    </row>
    <row r="103" spans="1:176" ht="14.4" x14ac:dyDescent="0.35">
      <c r="A103" s="167" t="s">
        <v>256</v>
      </c>
      <c r="B103" s="167"/>
      <c r="C103" s="168">
        <v>0</v>
      </c>
      <c r="D103" s="168"/>
      <c r="E103" s="168">
        <v>0</v>
      </c>
      <c r="F103" s="168"/>
      <c r="G103" s="168"/>
      <c r="H103" s="168"/>
      <c r="EY103"/>
      <c r="EZ103"/>
      <c r="FA103"/>
      <c r="FQ103"/>
      <c r="FR103"/>
      <c r="FS103"/>
      <c r="FT103"/>
    </row>
    <row r="104" spans="1:176" ht="14.4" x14ac:dyDescent="0.35">
      <c r="A104" s="167" t="s">
        <v>257</v>
      </c>
      <c r="B104" s="167"/>
      <c r="C104" s="168">
        <v>0</v>
      </c>
      <c r="D104" s="168"/>
      <c r="E104" s="168">
        <v>0</v>
      </c>
      <c r="F104" s="168"/>
      <c r="G104" s="168"/>
      <c r="H104" s="168"/>
      <c r="EY104"/>
      <c r="EZ104"/>
      <c r="FA104"/>
      <c r="FQ104"/>
      <c r="FR104"/>
      <c r="FS104"/>
      <c r="FT104"/>
    </row>
    <row r="105" spans="1:176" ht="14.4" x14ac:dyDescent="0.35">
      <c r="A105" s="167" t="s">
        <v>229</v>
      </c>
      <c r="B105" s="167"/>
      <c r="C105" s="168">
        <v>0</v>
      </c>
      <c r="D105" s="168"/>
      <c r="E105" s="168">
        <v>0</v>
      </c>
      <c r="F105" s="168"/>
      <c r="G105" s="168"/>
      <c r="H105" s="168"/>
      <c r="EY105"/>
      <c r="EZ105"/>
      <c r="FA105"/>
      <c r="FQ105"/>
      <c r="FR105"/>
      <c r="FS105"/>
      <c r="FT105"/>
    </row>
    <row r="106" spans="1:176" ht="14.4" x14ac:dyDescent="0.35">
      <c r="A106" s="167" t="s">
        <v>180</v>
      </c>
      <c r="B106" s="167"/>
      <c r="C106" s="168">
        <v>0</v>
      </c>
      <c r="D106" s="168"/>
      <c r="E106" s="168">
        <v>0</v>
      </c>
      <c r="F106" s="168"/>
      <c r="G106" s="168"/>
      <c r="H106" s="168"/>
      <c r="EY106"/>
      <c r="EZ106"/>
      <c r="FA106"/>
      <c r="FQ106"/>
      <c r="FR106"/>
      <c r="FS106"/>
      <c r="FT106"/>
    </row>
    <row r="107" spans="1:176" ht="14.4" x14ac:dyDescent="0.35">
      <c r="A107" s="131" t="s">
        <v>181</v>
      </c>
      <c r="B107" s="132"/>
      <c r="C107" s="169">
        <f>SUM(C88:D106)</f>
        <v>0</v>
      </c>
      <c r="D107" s="169"/>
      <c r="E107" s="169">
        <f>SUM(E88:F106)</f>
        <v>0</v>
      </c>
      <c r="F107" s="169"/>
      <c r="G107" s="169">
        <f>SUM(G88:H106)</f>
        <v>0</v>
      </c>
      <c r="H107" s="169"/>
      <c r="EY107"/>
      <c r="EZ107"/>
      <c r="FA107"/>
      <c r="FQ107"/>
      <c r="FR107"/>
      <c r="FS107"/>
      <c r="FT107"/>
    </row>
    <row r="108" spans="1:176" ht="14.4" x14ac:dyDescent="0.35">
      <c r="A108" s="15"/>
      <c r="B108" s="15"/>
      <c r="C108" s="15"/>
      <c r="D108" s="15"/>
      <c r="E108" s="15"/>
      <c r="F108" s="15"/>
      <c r="G108" s="15"/>
      <c r="H108" s="16"/>
      <c r="EY108"/>
      <c r="EZ108"/>
      <c r="FA108"/>
      <c r="FQ108"/>
      <c r="FR108"/>
      <c r="FS108"/>
      <c r="FT108"/>
    </row>
    <row r="109" spans="1:176" ht="14.4" x14ac:dyDescent="0.35">
      <c r="A109" s="15"/>
      <c r="B109" s="15"/>
      <c r="C109" s="15"/>
      <c r="D109" s="15"/>
      <c r="E109" s="15"/>
      <c r="F109" s="15"/>
      <c r="G109" s="15"/>
      <c r="H109" s="16"/>
      <c r="EY109"/>
      <c r="EZ109"/>
      <c r="FA109"/>
      <c r="FQ109"/>
      <c r="FR109"/>
      <c r="FS109"/>
      <c r="FT109"/>
    </row>
    <row r="110" spans="1:176" ht="14.4" x14ac:dyDescent="0.35">
      <c r="A110" s="170" t="s">
        <v>182</v>
      </c>
      <c r="B110" s="170"/>
      <c r="C110" s="170"/>
      <c r="D110" s="15"/>
      <c r="E110" s="15"/>
      <c r="F110" s="15"/>
      <c r="G110" s="15"/>
      <c r="H110" s="16"/>
      <c r="EY110"/>
      <c r="EZ110"/>
      <c r="FA110"/>
      <c r="FQ110"/>
      <c r="FR110"/>
      <c r="FS110"/>
      <c r="FT110"/>
    </row>
    <row r="111" spans="1:176" ht="14.4" x14ac:dyDescent="0.35">
      <c r="A111" s="131" t="s">
        <v>126</v>
      </c>
      <c r="B111" s="132"/>
      <c r="C111" s="67" t="s">
        <v>127</v>
      </c>
      <c r="D111" s="15"/>
      <c r="E111" s="15"/>
      <c r="F111" s="15"/>
      <c r="G111" s="15"/>
      <c r="H111" s="16"/>
      <c r="EY111"/>
      <c r="EZ111"/>
      <c r="FA111"/>
      <c r="FQ111"/>
      <c r="FR111"/>
      <c r="FS111"/>
      <c r="FT111"/>
    </row>
    <row r="112" spans="1:176" ht="14.4" x14ac:dyDescent="0.35">
      <c r="A112" s="160" t="s">
        <v>128</v>
      </c>
      <c r="B112" s="161"/>
      <c r="C112" s="35">
        <f>INDEX('Daily Variance'!A:B,MATCH(A112,'Daily Variance'!A:A,0),2)</f>
        <v>0</v>
      </c>
      <c r="D112" s="15"/>
      <c r="E112" s="15"/>
      <c r="F112" s="15"/>
      <c r="G112" s="15"/>
      <c r="H112" s="16"/>
      <c r="EY112"/>
      <c r="EZ112"/>
      <c r="FA112"/>
      <c r="FQ112"/>
      <c r="FR112"/>
      <c r="FS112"/>
      <c r="FT112"/>
    </row>
    <row r="113" spans="1:176" ht="14.4" x14ac:dyDescent="0.35">
      <c r="A113" s="152" t="s">
        <v>129</v>
      </c>
      <c r="B113" s="153"/>
      <c r="C113" s="35">
        <f>INDEX('Daily Variance'!A:B,MATCH(A113,'Daily Variance'!A:A,0),2)</f>
        <v>0</v>
      </c>
      <c r="D113" s="15"/>
      <c r="E113" s="15"/>
      <c r="F113" s="15"/>
      <c r="G113" s="15"/>
      <c r="H113" s="16"/>
      <c r="EY113"/>
      <c r="EZ113"/>
      <c r="FA113"/>
      <c r="FQ113"/>
      <c r="FR113"/>
      <c r="FS113"/>
      <c r="FT113"/>
    </row>
    <row r="114" spans="1:176" ht="14.4" x14ac:dyDescent="0.35">
      <c r="A114" s="152" t="s">
        <v>130</v>
      </c>
      <c r="B114" s="153"/>
      <c r="C114" s="35">
        <f>INDEX('Daily Variance'!A:B,MATCH(A114,'Daily Variance'!A:A,0),2)</f>
        <v>0</v>
      </c>
      <c r="D114" s="15"/>
      <c r="E114" s="15"/>
      <c r="F114" s="15"/>
      <c r="G114" s="15"/>
      <c r="H114" s="16"/>
      <c r="EY114"/>
      <c r="EZ114"/>
      <c r="FA114"/>
      <c r="FQ114"/>
      <c r="FR114"/>
      <c r="FS114"/>
      <c r="FT114"/>
    </row>
    <row r="115" spans="1:176" ht="14.4" x14ac:dyDescent="0.35">
      <c r="A115" s="25"/>
      <c r="B115" s="15"/>
      <c r="C115" s="15"/>
      <c r="D115" s="15"/>
      <c r="E115" s="15"/>
      <c r="F115" s="15"/>
      <c r="G115" s="15"/>
      <c r="H115" s="16"/>
      <c r="EY115"/>
      <c r="EZ115"/>
      <c r="FA115"/>
      <c r="FQ115"/>
      <c r="FR115"/>
      <c r="FS115"/>
      <c r="FT115"/>
    </row>
    <row r="116" spans="1:176" ht="14.4" x14ac:dyDescent="0.35">
      <c r="A116" s="25"/>
      <c r="B116" s="15"/>
      <c r="C116" s="15"/>
      <c r="D116" s="15"/>
      <c r="E116" s="15"/>
      <c r="F116" s="15"/>
      <c r="G116" s="15"/>
      <c r="H116" s="16"/>
      <c r="EY116"/>
      <c r="EZ116"/>
      <c r="FA116"/>
      <c r="FQ116"/>
      <c r="FR116"/>
      <c r="FS116"/>
      <c r="FT116"/>
    </row>
    <row r="117" spans="1:176" ht="14.4" x14ac:dyDescent="0.35">
      <c r="A117" s="170" t="s">
        <v>183</v>
      </c>
      <c r="B117" s="170"/>
      <c r="C117" s="171"/>
      <c r="D117" s="171"/>
      <c r="E117" s="15"/>
      <c r="F117" s="15"/>
      <c r="G117" s="15"/>
      <c r="H117" s="16"/>
      <c r="EY117"/>
      <c r="EZ117"/>
      <c r="FA117"/>
      <c r="FQ117"/>
      <c r="FR117"/>
      <c r="FS117"/>
      <c r="FT117"/>
    </row>
    <row r="118" spans="1:176" ht="14.4" x14ac:dyDescent="0.35">
      <c r="A118" s="43" t="s">
        <v>22</v>
      </c>
      <c r="B118" s="44" t="s">
        <v>143</v>
      </c>
      <c r="C118" s="44" t="s">
        <v>144</v>
      </c>
      <c r="D118" s="44" t="s">
        <v>145</v>
      </c>
      <c r="E118" s="44" t="s">
        <v>146</v>
      </c>
      <c r="F118" s="44" t="s">
        <v>142</v>
      </c>
      <c r="G118" s="22"/>
      <c r="H118" s="23"/>
      <c r="I118" s="13"/>
      <c r="J118" s="13"/>
      <c r="EY118"/>
      <c r="EZ118"/>
      <c r="FA118"/>
      <c r="FQ118"/>
      <c r="FR118"/>
      <c r="FS118"/>
      <c r="FT118"/>
    </row>
    <row r="119" spans="1:176" ht="14.4" x14ac:dyDescent="0.35">
      <c r="A119" s="45" t="s">
        <v>134</v>
      </c>
      <c r="B119" s="46">
        <f>SUMIFS('CumVar by Severity &amp; Status'!H:H, 'CumVar by Severity &amp; Status'!B:B, 1)</f>
        <v>0</v>
      </c>
      <c r="C119" s="46">
        <f>SUMIFS('CumVar by Severity &amp; Status'!H:H, 'CumVar by Severity &amp; Status'!B:B, 2)</f>
        <v>1</v>
      </c>
      <c r="D119" s="46">
        <f>SUMIFS('CumVar by Severity &amp; Status'!H:H, 'CumVar by Severity &amp; Status'!B:B, 3)</f>
        <v>0</v>
      </c>
      <c r="E119" s="46">
        <f>SUMIFS('CumVar by Severity &amp; Status'!H:H, 'CumVar by Severity &amp; Status'!B:B, 4)</f>
        <v>0</v>
      </c>
      <c r="F119" s="46">
        <f>SUM(B119:E119)</f>
        <v>1</v>
      </c>
      <c r="G119" s="22"/>
      <c r="H119" s="23"/>
      <c r="I119" s="13"/>
      <c r="J119" s="13"/>
      <c r="EY119"/>
      <c r="EZ119"/>
      <c r="FA119"/>
      <c r="FQ119"/>
      <c r="FR119"/>
      <c r="FS119"/>
      <c r="FT119"/>
    </row>
    <row r="120" spans="1:176" ht="14.4" x14ac:dyDescent="0.35">
      <c r="A120" s="45" t="s">
        <v>233</v>
      </c>
      <c r="B120" s="46">
        <f>SUMIFS('CumVar by Severity &amp; Status'!I:I, 'CumVar by Severity &amp; Status'!B:B, 1)</f>
        <v>0</v>
      </c>
      <c r="C120" s="46">
        <f>SUMIFS('CumVar by Severity &amp; Status'!I:I, 'CumVar by Severity &amp; Status'!B:B, 2)</f>
        <v>0</v>
      </c>
      <c r="D120" s="46">
        <f>SUMIFS('CumVar by Severity &amp; Status'!I:I, 'CumVar by Severity &amp; Status'!B:B, 3)</f>
        <v>0</v>
      </c>
      <c r="E120" s="46">
        <f>SUMIFS('CumVar by Severity &amp; Status'!I:I, 'CumVar by Severity &amp; Status'!B:B, 4)</f>
        <v>0</v>
      </c>
      <c r="F120" s="46">
        <f t="shared" ref="F120:F128" si="0">SUM(B120:E120)</f>
        <v>0</v>
      </c>
      <c r="G120" s="22"/>
      <c r="H120" s="23"/>
      <c r="I120" s="13"/>
      <c r="J120" s="13"/>
      <c r="EY120"/>
      <c r="EZ120"/>
      <c r="FA120"/>
      <c r="FQ120"/>
      <c r="FR120"/>
      <c r="FS120"/>
      <c r="FT120"/>
    </row>
    <row r="121" spans="1:176" ht="14.4" x14ac:dyDescent="0.35">
      <c r="A121" s="45" t="s">
        <v>136</v>
      </c>
      <c r="B121" s="46">
        <f>SUMIFS('CumVar by Severity &amp; Status'!J:J, 'CumVar by Severity &amp; Status'!B:B, 1)</f>
        <v>0</v>
      </c>
      <c r="C121" s="46">
        <f>SUMIFS('CumVar by Severity &amp; Status'!J:J, 'CumVar by Severity &amp; Status'!B:B, 2)</f>
        <v>0</v>
      </c>
      <c r="D121" s="46">
        <f>SUMIFS('CumVar by Severity &amp; Status'!J:J, 'CumVar by Severity &amp; Status'!B:B, 3)</f>
        <v>0</v>
      </c>
      <c r="E121" s="46">
        <f>SUMIFS('CumVar by Severity &amp; Status'!J:J, 'CumVar by Severity &amp; Status'!B:B, 4)</f>
        <v>0</v>
      </c>
      <c r="F121" s="46">
        <f t="shared" si="0"/>
        <v>0</v>
      </c>
      <c r="G121" s="22"/>
      <c r="H121" s="23"/>
      <c r="I121" s="13"/>
      <c r="J121" s="13"/>
      <c r="EY121"/>
      <c r="EZ121"/>
      <c r="FA121"/>
      <c r="FQ121"/>
      <c r="FR121"/>
      <c r="FS121"/>
      <c r="FT121"/>
    </row>
    <row r="122" spans="1:176" ht="14.4" x14ac:dyDescent="0.35">
      <c r="A122" s="45" t="s">
        <v>185</v>
      </c>
      <c r="B122" s="46">
        <f>SUMIFS('CumVar by Severity &amp; Status'!K:K, 'CumVar by Severity &amp; Status'!B:B, 1)</f>
        <v>0</v>
      </c>
      <c r="C122" s="46">
        <f>SUMIFS('CumVar by Severity &amp; Status'!K:K, 'CumVar by Severity &amp; Status'!B:B, 2)</f>
        <v>0</v>
      </c>
      <c r="D122" s="46">
        <f>SUMIFS('CumVar by Severity &amp; Status'!K:K, 'CumVar by Severity &amp; Status'!B:B, 3)</f>
        <v>0</v>
      </c>
      <c r="E122" s="46">
        <f>SUMIFS('CumVar by Severity &amp; Status'!K:K, 'CumVar by Severity &amp; Status'!B:B, 4)</f>
        <v>0</v>
      </c>
      <c r="F122" s="46">
        <f t="shared" si="0"/>
        <v>0</v>
      </c>
      <c r="G122" s="22"/>
      <c r="H122" s="23"/>
      <c r="I122" s="13"/>
      <c r="J122" s="13"/>
      <c r="EY122"/>
      <c r="EZ122"/>
      <c r="FA122"/>
      <c r="FQ122"/>
      <c r="FR122"/>
      <c r="FS122"/>
      <c r="FT122"/>
    </row>
    <row r="123" spans="1:176" ht="14.4" x14ac:dyDescent="0.35">
      <c r="A123" s="45" t="s">
        <v>138</v>
      </c>
      <c r="B123" s="46">
        <f>SUMIFS('CumVar by Severity &amp; Status'!L:L, 'CumVar by Severity &amp; Status'!B:B, 1)</f>
        <v>0</v>
      </c>
      <c r="C123" s="46">
        <f>SUMIFS('CumVar by Severity &amp; Status'!L:L, 'CumVar by Severity &amp; Status'!B:B, 2)</f>
        <v>0</v>
      </c>
      <c r="D123" s="46">
        <f>SUMIFS('CumVar by Severity &amp; Status'!L:L, 'CumVar by Severity &amp; Status'!B:B, 3)</f>
        <v>0</v>
      </c>
      <c r="E123" s="46">
        <f>SUMIFS('CumVar by Severity &amp; Status'!L:L, 'CumVar by Severity &amp; Status'!B:B, 4)</f>
        <v>0</v>
      </c>
      <c r="F123" s="46">
        <f t="shared" si="0"/>
        <v>0</v>
      </c>
      <c r="G123" s="22"/>
      <c r="H123" s="23"/>
      <c r="I123" s="13"/>
      <c r="J123" s="13"/>
      <c r="EY123"/>
      <c r="EZ123"/>
      <c r="FA123"/>
      <c r="FQ123"/>
      <c r="FR123"/>
      <c r="FS123"/>
      <c r="FT123"/>
    </row>
    <row r="124" spans="1:176" ht="14.4" x14ac:dyDescent="0.35">
      <c r="A124" s="45" t="s">
        <v>139</v>
      </c>
      <c r="B124" s="46">
        <f>SUMIFS('CumVar by Severity &amp; Status'!M:M, 'CumVar by Severity &amp; Status'!B:B, 1)</f>
        <v>0</v>
      </c>
      <c r="C124" s="46">
        <f>SUMIFS('CumVar by Severity &amp; Status'!M:M, 'CumVar by Severity &amp; Status'!B:B, 2)</f>
        <v>0</v>
      </c>
      <c r="D124" s="46">
        <f>SUMIFS('CumVar by Severity &amp; Status'!M:M, 'CumVar by Severity &amp; Status'!B:B, 3)</f>
        <v>0</v>
      </c>
      <c r="E124" s="46">
        <f>SUMIFS('CumVar by Severity &amp; Status'!M:M, 'CumVar by Severity &amp; Status'!B:B, 4)</f>
        <v>0</v>
      </c>
      <c r="F124" s="46">
        <f t="shared" si="0"/>
        <v>0</v>
      </c>
      <c r="G124" s="22"/>
      <c r="H124" s="23"/>
      <c r="I124" s="13"/>
      <c r="J124" s="13"/>
      <c r="EY124"/>
      <c r="EZ124"/>
      <c r="FA124"/>
      <c r="FQ124"/>
      <c r="FR124"/>
      <c r="FS124"/>
      <c r="FT124"/>
    </row>
    <row r="125" spans="1:176" ht="14.4" x14ac:dyDescent="0.35">
      <c r="A125" s="45" t="s">
        <v>140</v>
      </c>
      <c r="B125" s="46">
        <f>SUMIFS('CumVar by Severity &amp; Status'!N:N, 'CumVar by Severity &amp; Status'!B:B, 1)</f>
        <v>0</v>
      </c>
      <c r="C125" s="46">
        <f>SUMIFS('CumVar by Severity &amp; Status'!N:N, 'CumVar by Severity &amp; Status'!B:B, 2)</f>
        <v>1</v>
      </c>
      <c r="D125" s="46">
        <f>SUMIFS('CumVar by Severity &amp; Status'!N:N, 'CumVar by Severity &amp; Status'!B:B, 3)</f>
        <v>0</v>
      </c>
      <c r="E125" s="46">
        <f>SUMIFS('CumVar by Severity &amp; Status'!N:N, 'CumVar by Severity &amp; Status'!B:B, 4)</f>
        <v>0</v>
      </c>
      <c r="F125" s="46">
        <f t="shared" si="0"/>
        <v>1</v>
      </c>
      <c r="G125" s="22"/>
      <c r="H125" s="23"/>
      <c r="I125" s="13"/>
      <c r="J125" s="13"/>
      <c r="EY125"/>
      <c r="EZ125"/>
      <c r="FA125"/>
      <c r="FQ125"/>
      <c r="FR125"/>
      <c r="FS125"/>
      <c r="FT125"/>
    </row>
    <row r="126" spans="1:176" ht="14.4" x14ac:dyDescent="0.35">
      <c r="A126" s="45" t="s">
        <v>141</v>
      </c>
      <c r="B126" s="46">
        <f>SUMIFS('CumVar by Severity &amp; Status'!O:O, 'CumVar by Severity &amp; Status'!B:B, 1)</f>
        <v>0</v>
      </c>
      <c r="C126" s="46">
        <f>SUMIFS('CumVar by Severity &amp; Status'!O:O, 'CumVar by Severity &amp; Status'!B:B, 2)</f>
        <v>0</v>
      </c>
      <c r="D126" s="46">
        <f>SUMIFS('CumVar by Severity &amp; Status'!O:O, 'CumVar by Severity &amp; Status'!B:B, 3)</f>
        <v>0</v>
      </c>
      <c r="E126" s="46">
        <f>SUMIFS('CumVar by Severity &amp; Status'!O:O, 'CumVar by Severity &amp; Status'!B:B, 4)</f>
        <v>0</v>
      </c>
      <c r="F126" s="46">
        <f t="shared" si="0"/>
        <v>0</v>
      </c>
      <c r="G126" s="22"/>
      <c r="H126" s="23"/>
      <c r="I126" s="13"/>
      <c r="J126" s="13"/>
      <c r="EY126"/>
      <c r="EZ126"/>
      <c r="FA126"/>
      <c r="FQ126"/>
      <c r="FR126"/>
      <c r="FS126"/>
      <c r="FT126"/>
    </row>
    <row r="127" spans="1:176" ht="14.4" x14ac:dyDescent="0.35">
      <c r="A127" s="45" t="s">
        <v>129</v>
      </c>
      <c r="B127" s="46">
        <f>SUMIFS('CumVar by Severity &amp; Status'!P:P, 'CumVar by Severity &amp; Status'!B:B, 1)</f>
        <v>13</v>
      </c>
      <c r="C127" s="46">
        <f>SUMIFS('CumVar by Severity &amp; Status'!P:P, 'CumVar by Severity &amp; Status'!B:B, 2)</f>
        <v>55</v>
      </c>
      <c r="D127" s="46">
        <f>SUMIFS('CumVar by Severity &amp; Status'!P:P, 'CumVar by Severity &amp; Status'!B:B, 3)</f>
        <v>55</v>
      </c>
      <c r="E127" s="46">
        <f>SUMIFS('CumVar by Severity &amp; Status'!P:P, 'CumVar by Severity &amp; Status'!B:B, 4)</f>
        <v>0</v>
      </c>
      <c r="F127" s="46">
        <f t="shared" si="0"/>
        <v>123</v>
      </c>
      <c r="G127" s="22"/>
      <c r="H127" s="23"/>
      <c r="I127" s="13"/>
      <c r="J127" s="13"/>
      <c r="EY127"/>
      <c r="EZ127"/>
      <c r="FA127"/>
      <c r="FQ127"/>
      <c r="FR127"/>
      <c r="FS127"/>
      <c r="FT127"/>
    </row>
    <row r="128" spans="1:176" ht="14.4" x14ac:dyDescent="0.35">
      <c r="A128" s="64" t="s">
        <v>142</v>
      </c>
      <c r="B128" s="65">
        <f>SUM(B119:B127)</f>
        <v>13</v>
      </c>
      <c r="C128" s="65">
        <f>SUM(C119:C127)</f>
        <v>57</v>
      </c>
      <c r="D128" s="65">
        <f>SUM(D119:D127)</f>
        <v>55</v>
      </c>
      <c r="E128" s="65">
        <f>SUM(E119:E127)</f>
        <v>0</v>
      </c>
      <c r="F128" s="65">
        <f t="shared" si="0"/>
        <v>125</v>
      </c>
      <c r="G128" s="22"/>
      <c r="H128" s="23"/>
      <c r="I128" s="13"/>
      <c r="J128" s="13"/>
      <c r="EY128"/>
      <c r="EZ128"/>
      <c r="FA128"/>
      <c r="FQ128"/>
      <c r="FR128"/>
      <c r="FS128"/>
      <c r="FT128"/>
    </row>
    <row r="129" spans="1:176" ht="14.4" x14ac:dyDescent="0.35">
      <c r="A129" s="47"/>
      <c r="B129" s="22"/>
      <c r="C129" s="22"/>
      <c r="D129" s="22"/>
      <c r="E129" s="22"/>
      <c r="F129" s="22"/>
      <c r="G129" s="22"/>
      <c r="H129" s="23"/>
      <c r="I129" s="13"/>
      <c r="J129" s="13"/>
      <c r="EY129"/>
      <c r="EZ129"/>
      <c r="FA129"/>
      <c r="FQ129"/>
      <c r="FR129"/>
      <c r="FS129"/>
      <c r="FT129"/>
    </row>
    <row r="130" spans="1:176" ht="14.4" x14ac:dyDescent="0.35">
      <c r="A130" s="47"/>
      <c r="B130" s="22"/>
      <c r="C130" s="22"/>
      <c r="D130" s="22"/>
      <c r="E130" s="22"/>
      <c r="F130" s="22"/>
      <c r="G130" s="22"/>
      <c r="H130" s="23"/>
      <c r="I130" s="13"/>
      <c r="J130" s="13"/>
      <c r="EY130"/>
      <c r="EZ130"/>
      <c r="FA130"/>
      <c r="FQ130"/>
      <c r="FR130"/>
      <c r="FS130"/>
      <c r="FT130"/>
    </row>
    <row r="131" spans="1:176" ht="14.4" x14ac:dyDescent="0.35">
      <c r="A131" s="172" t="s">
        <v>184</v>
      </c>
      <c r="B131" s="173"/>
      <c r="C131" s="22"/>
      <c r="D131" s="22"/>
      <c r="E131" s="22"/>
      <c r="F131" s="22"/>
      <c r="G131" s="22"/>
      <c r="H131" s="23"/>
      <c r="I131" s="13"/>
      <c r="J131" s="13"/>
      <c r="EY131"/>
      <c r="EZ131"/>
      <c r="FA131"/>
      <c r="FQ131"/>
      <c r="FR131"/>
      <c r="FS131"/>
      <c r="FT131"/>
    </row>
    <row r="132" spans="1:176" ht="14.4" x14ac:dyDescent="0.35">
      <c r="A132" s="48" t="s">
        <v>186</v>
      </c>
      <c r="B132" s="48" t="s">
        <v>187</v>
      </c>
      <c r="C132" s="22"/>
      <c r="D132" s="22"/>
      <c r="E132" s="22"/>
      <c r="F132" s="22"/>
      <c r="G132" s="22"/>
      <c r="H132" s="23"/>
      <c r="I132" s="13"/>
      <c r="J132" s="13"/>
      <c r="EY132"/>
      <c r="EZ132"/>
      <c r="FA132"/>
      <c r="FQ132"/>
      <c r="FR132"/>
      <c r="FS132"/>
      <c r="FT132"/>
    </row>
    <row r="133" spans="1:176" ht="14.4" x14ac:dyDescent="0.35">
      <c r="A133" s="117" t="e" cm="1" vm="2">
        <f t="array" aca="1" ref="A133" ca="1">SUM(1*(_xlfn.MAP(_xlfn._xlws.FILTER('Sev 1 Aging'!C2:C10000, LEN('Sev 1 Aging'!C2:C10000)),_xlfn.LET(_xlpm.closeDate, _xlfn._xlws.FILTER('Sev 1 Aging'!D2:D10000, LEN('Sev 1 Aging'!C2:C10000)), IF(_xlpm.closeDate=0, TODAY(), _xlpm.closeDate)),_xlfn.LAMBDA(_xlpm.x,_xlpm.y, NETWORKDAYS(_xlpm.x, _xlpm.y)))&lt;=4))</f>
        <v>#NAME?</v>
      </c>
      <c r="B133" s="117" t="e" cm="1" vm="2">
        <f t="array" aca="1" ref="B133" ca="1">SUM(1*(_xlfn.MAP(_xlfn._xlws.FILTER('Sev 1 Aging'!C2:C10000, LEN('Sev 1 Aging'!C2:C10000)),_xlfn.LET(_xlpm.closeDate, _xlfn._xlws.FILTER('Sev 1 Aging'!D2:D10000, LEN('Sev 1 Aging'!C2:C10000)), IF(_xlpm.closeDate=0, TODAY(), _xlpm.closeDate)),_xlfn.LAMBDA(_xlpm.x,_xlpm.y, NETWORKDAYS(_xlpm.x, _xlpm.y)))&gt;4))</f>
        <v>#NAME?</v>
      </c>
      <c r="C133" s="22"/>
      <c r="D133" s="22"/>
      <c r="E133" s="22"/>
      <c r="F133" s="22"/>
      <c r="G133" s="22"/>
      <c r="H133" s="23"/>
      <c r="I133" s="13"/>
      <c r="J133" s="13"/>
      <c r="EY133"/>
      <c r="EZ133"/>
      <c r="FA133"/>
      <c r="FQ133"/>
      <c r="FR133"/>
      <c r="FS133"/>
      <c r="FT133"/>
    </row>
    <row r="134" spans="1:176" ht="14.4" x14ac:dyDescent="0.35">
      <c r="A134" s="50"/>
      <c r="B134" s="50"/>
      <c r="C134" s="22"/>
      <c r="D134" s="22"/>
      <c r="E134" s="22"/>
      <c r="F134" s="22"/>
      <c r="G134" s="22"/>
      <c r="H134" s="23"/>
      <c r="I134" s="13"/>
      <c r="J134" s="13"/>
      <c r="EY134"/>
      <c r="EZ134"/>
      <c r="FA134"/>
      <c r="FQ134"/>
      <c r="FR134"/>
      <c r="FS134"/>
      <c r="FT134"/>
    </row>
    <row r="135" spans="1:176" ht="14.4" x14ac:dyDescent="0.35">
      <c r="A135" s="50"/>
      <c r="B135" s="50"/>
      <c r="C135" s="22"/>
      <c r="D135" s="22"/>
      <c r="E135" s="22"/>
      <c r="F135" s="22"/>
      <c r="G135" s="22"/>
      <c r="H135" s="23"/>
      <c r="I135" s="13"/>
      <c r="J135" s="13"/>
      <c r="FQ135"/>
      <c r="FR135"/>
      <c r="FS135"/>
      <c r="FT135"/>
    </row>
    <row r="136" spans="1:176" ht="14.4" x14ac:dyDescent="0.35">
      <c r="A136" s="50"/>
      <c r="B136" s="50"/>
      <c r="C136" s="22"/>
      <c r="D136" s="22"/>
      <c r="E136" s="22"/>
      <c r="F136" s="22"/>
      <c r="G136" s="22"/>
      <c r="H136" s="23"/>
      <c r="I136" s="13"/>
      <c r="J136" s="13"/>
      <c r="FQ136"/>
      <c r="FR136"/>
      <c r="FS136"/>
      <c r="FT136"/>
    </row>
    <row r="137" spans="1:176" ht="14.4" x14ac:dyDescent="0.35">
      <c r="A137" s="50"/>
      <c r="B137" s="50"/>
      <c r="C137" s="22"/>
      <c r="D137" s="22"/>
      <c r="E137" s="22"/>
      <c r="F137" s="22"/>
      <c r="G137" s="22"/>
      <c r="H137" s="23"/>
      <c r="I137" s="13"/>
      <c r="J137" s="13"/>
      <c r="FQ137"/>
      <c r="FR137"/>
      <c r="FS137"/>
      <c r="FT137"/>
    </row>
    <row r="138" spans="1:176" ht="14.4" x14ac:dyDescent="0.35">
      <c r="A138" s="47"/>
      <c r="B138" s="22"/>
      <c r="C138" s="22"/>
      <c r="D138" s="22"/>
      <c r="E138" s="22"/>
      <c r="F138" s="22"/>
      <c r="G138" s="22"/>
      <c r="H138" s="23"/>
      <c r="I138" s="13"/>
      <c r="J138" s="13"/>
      <c r="FQ138"/>
      <c r="FR138"/>
      <c r="FS138"/>
      <c r="FT138"/>
    </row>
    <row r="139" spans="1:176" ht="14.4" x14ac:dyDescent="0.35">
      <c r="A139" s="47"/>
      <c r="B139" s="22"/>
      <c r="C139" s="22"/>
      <c r="D139" s="22"/>
      <c r="E139" s="22"/>
      <c r="F139" s="22"/>
      <c r="G139" s="22"/>
      <c r="H139" s="23"/>
      <c r="I139" s="13"/>
      <c r="J139" s="13"/>
      <c r="FQ139"/>
      <c r="FR139"/>
      <c r="FS139"/>
      <c r="FT139"/>
    </row>
    <row r="140" spans="1:176" ht="14.4" x14ac:dyDescent="0.35">
      <c r="A140" s="170" t="s">
        <v>192</v>
      </c>
      <c r="B140" s="170"/>
      <c r="C140" s="170"/>
      <c r="D140" s="170"/>
      <c r="E140" s="15"/>
      <c r="F140" s="15"/>
      <c r="G140" s="15"/>
      <c r="H140" s="16"/>
      <c r="FQ140"/>
      <c r="FR140"/>
      <c r="FS140"/>
      <c r="FT140"/>
    </row>
    <row r="141" spans="1:176" ht="14.4" x14ac:dyDescent="0.35">
      <c r="A141" s="174" t="s">
        <v>147</v>
      </c>
      <c r="B141" s="175"/>
      <c r="C141" s="67" t="s">
        <v>148</v>
      </c>
      <c r="D141" s="67" t="s">
        <v>149</v>
      </c>
      <c r="E141" s="67" t="s">
        <v>193</v>
      </c>
      <c r="F141" s="67" t="s">
        <v>194</v>
      </c>
      <c r="G141" s="15"/>
      <c r="H141" s="16"/>
      <c r="L141" s="51"/>
      <c r="FQ141"/>
      <c r="FR141"/>
      <c r="FS141"/>
      <c r="FT141"/>
    </row>
    <row r="142" spans="1:176" ht="14.4" x14ac:dyDescent="0.35">
      <c r="A142" s="152" t="s">
        <v>220</v>
      </c>
      <c r="B142" s="153"/>
      <c r="C142" s="35">
        <f>SUMIFS('CumVar by RootCause &amp; Severity'!G:G, 'CumVar by RootCause &amp; Severity'!B:B, A142)</f>
        <v>0</v>
      </c>
      <c r="D142" s="35">
        <f>SUMIFS('CumVar by RootCause &amp; Severity'!H:H, 'CumVar by RootCause &amp; Severity'!B:B, A142)</f>
        <v>0</v>
      </c>
      <c r="E142" s="35">
        <f>SUMIFS('CumVar by RootCause &amp; Severity'!I:I, 'CumVar by RootCause &amp; Severity'!B:B, A142)</f>
        <v>0</v>
      </c>
      <c r="F142" s="35">
        <f>SUMIFS('CumVar by RootCause &amp; Severity'!J:J, 'CumVar by RootCause &amp; Severity'!B:B, A142)</f>
        <v>0</v>
      </c>
      <c r="G142" s="15"/>
      <c r="H142" s="16"/>
      <c r="FQ142"/>
      <c r="FR142"/>
      <c r="FS142"/>
      <c r="FT142"/>
    </row>
    <row r="143" spans="1:176" ht="14.4" x14ac:dyDescent="0.35">
      <c r="A143" s="152" t="s">
        <v>153</v>
      </c>
      <c r="B143" s="153"/>
      <c r="C143" s="35">
        <f>SUMIFS('CumVar by RootCause &amp; Severity'!G:G, 'CumVar by RootCause &amp; Severity'!B:B, A143)</f>
        <v>10</v>
      </c>
      <c r="D143" s="35">
        <f>SUMIFS('CumVar by RootCause &amp; Severity'!H:H, 'CumVar by RootCause &amp; Severity'!B:B, A143)</f>
        <v>39</v>
      </c>
      <c r="E143" s="35">
        <f>SUMIFS('CumVar by RootCause &amp; Severity'!I:I, 'CumVar by RootCause &amp; Severity'!B:B, A143)</f>
        <v>38</v>
      </c>
      <c r="F143" s="35">
        <f>SUMIFS('CumVar by RootCause &amp; Severity'!J:J, 'CumVar by RootCause &amp; Severity'!B:B, A143)</f>
        <v>0</v>
      </c>
      <c r="G143" s="15"/>
      <c r="H143" s="16"/>
      <c r="FQ143"/>
      <c r="FR143"/>
      <c r="FS143"/>
      <c r="FT143"/>
    </row>
    <row r="144" spans="1:176" ht="14.4" x14ac:dyDescent="0.35">
      <c r="A144" s="152" t="s">
        <v>258</v>
      </c>
      <c r="B144" s="153"/>
      <c r="C144" s="35">
        <f>SUMIFS('CumVar by RootCause &amp; Severity'!G:G, 'CumVar by RootCause &amp; Severity'!B:B, A144)</f>
        <v>0</v>
      </c>
      <c r="D144" s="35">
        <f>SUMIFS('CumVar by RootCause &amp; Severity'!H:H, 'CumVar by RootCause &amp; Severity'!B:B, A144)</f>
        <v>0</v>
      </c>
      <c r="E144" s="35">
        <f>SUMIFS('CumVar by RootCause &amp; Severity'!I:I, 'CumVar by RootCause &amp; Severity'!B:B, A144)</f>
        <v>0</v>
      </c>
      <c r="F144" s="35">
        <f>SUMIFS('CumVar by RootCause &amp; Severity'!J:J, 'CumVar by RootCause &amp; Severity'!B:B, A144)</f>
        <v>0</v>
      </c>
      <c r="G144" s="15"/>
      <c r="H144" s="16"/>
      <c r="FQ144"/>
      <c r="FR144"/>
      <c r="FS144"/>
      <c r="FT144"/>
    </row>
    <row r="145" spans="1:8" x14ac:dyDescent="0.3">
      <c r="A145" s="152" t="s">
        <v>154</v>
      </c>
      <c r="B145" s="153"/>
      <c r="C145" s="35">
        <f>SUMIFS('CumVar by RootCause &amp; Severity'!G:G, 'CumVar by RootCause &amp; Severity'!B:B, A145)</f>
        <v>0</v>
      </c>
      <c r="D145" s="35">
        <f>SUMIFS('CumVar by RootCause &amp; Severity'!H:H, 'CumVar by RootCause &amp; Severity'!B:B, A145)</f>
        <v>1</v>
      </c>
      <c r="E145" s="35">
        <f>SUMIFS('CumVar by RootCause &amp; Severity'!I:I, 'CumVar by RootCause &amp; Severity'!B:B, A145)</f>
        <v>2</v>
      </c>
      <c r="F145" s="35">
        <f>SUMIFS('CumVar by RootCause &amp; Severity'!J:J, 'CumVar by RootCause &amp; Severity'!B:B, A145)</f>
        <v>0</v>
      </c>
      <c r="G145" s="15"/>
      <c r="H145" s="16"/>
    </row>
    <row r="146" spans="1:8" x14ac:dyDescent="0.3">
      <c r="A146" s="152" t="s">
        <v>259</v>
      </c>
      <c r="B146" s="153"/>
      <c r="C146" s="35">
        <f>SUMIFS('CumVar by RootCause &amp; Severity'!G:G, 'CumVar by RootCause &amp; Severity'!B:B, A146)</f>
        <v>0</v>
      </c>
      <c r="D146" s="35">
        <f>SUMIFS('CumVar by RootCause &amp; Severity'!H:H, 'CumVar by RootCause &amp; Severity'!B:B, A146)</f>
        <v>2</v>
      </c>
      <c r="E146" s="35">
        <f>SUMIFS('CumVar by RootCause &amp; Severity'!I:I, 'CumVar by RootCause &amp; Severity'!B:B, A146)</f>
        <v>1</v>
      </c>
      <c r="F146" s="35">
        <f>SUMIFS('CumVar by RootCause &amp; Severity'!J:J, 'CumVar by RootCause &amp; Severity'!B:B, A146)</f>
        <v>0</v>
      </c>
      <c r="G146" s="15"/>
      <c r="H146" s="16"/>
    </row>
    <row r="147" spans="1:8" x14ac:dyDescent="0.3">
      <c r="A147" s="152" t="s">
        <v>221</v>
      </c>
      <c r="B147" s="153"/>
      <c r="C147" s="35">
        <f>SUMIFS('CumVar by RootCause &amp; Severity'!G:G, 'CumVar by RootCause &amp; Severity'!B:B, A147)</f>
        <v>0</v>
      </c>
      <c r="D147" s="35">
        <f>SUMIFS('CumVar by RootCause &amp; Severity'!H:H, 'CumVar by RootCause &amp; Severity'!B:B, A147)</f>
        <v>0</v>
      </c>
      <c r="E147" s="35">
        <f>SUMIFS('CumVar by RootCause &amp; Severity'!I:I, 'CumVar by RootCause &amp; Severity'!B:B, A147)</f>
        <v>1</v>
      </c>
      <c r="F147" s="35">
        <f>SUMIFS('CumVar by RootCause &amp; Severity'!J:J, 'CumVar by RootCause &amp; Severity'!B:B, A147)</f>
        <v>0</v>
      </c>
      <c r="G147" s="15"/>
      <c r="H147" s="16"/>
    </row>
    <row r="148" spans="1:8" x14ac:dyDescent="0.3">
      <c r="A148" s="152" t="s">
        <v>222</v>
      </c>
      <c r="B148" s="153"/>
      <c r="C148" s="35">
        <f>SUMIFS('CumVar by RootCause &amp; Severity'!G:G, 'CumVar by RootCause &amp; Severity'!B:B, A148)</f>
        <v>0</v>
      </c>
      <c r="D148" s="35">
        <f>SUMIFS('CumVar by RootCause &amp; Severity'!H:H, 'CumVar by RootCause &amp; Severity'!B:B, A148)</f>
        <v>0</v>
      </c>
      <c r="E148" s="35">
        <f>SUMIFS('CumVar by RootCause &amp; Severity'!I:I, 'CumVar by RootCause &amp; Severity'!B:B, A148)</f>
        <v>0</v>
      </c>
      <c r="F148" s="35">
        <f>SUMIFS('CumVar by RootCause &amp; Severity'!J:J, 'CumVar by RootCause &amp; Severity'!B:B, A148)</f>
        <v>0</v>
      </c>
      <c r="G148" s="15"/>
      <c r="H148" s="16"/>
    </row>
    <row r="149" spans="1:8" x14ac:dyDescent="0.3">
      <c r="A149" s="152" t="s">
        <v>223</v>
      </c>
      <c r="B149" s="153"/>
      <c r="C149" s="35">
        <f>SUMIFS('CumVar by RootCause &amp; Severity'!G:G, 'CumVar by RootCause &amp; Severity'!B:B, A149)</f>
        <v>0</v>
      </c>
      <c r="D149" s="35">
        <f>SUMIFS('CumVar by RootCause &amp; Severity'!H:H, 'CumVar by RootCause &amp; Severity'!B:B, A149)</f>
        <v>0</v>
      </c>
      <c r="E149" s="35">
        <f>SUMIFS('CumVar by RootCause &amp; Severity'!I:I, 'CumVar by RootCause &amp; Severity'!B:B, A149)</f>
        <v>1</v>
      </c>
      <c r="F149" s="35">
        <f>SUMIFS('CumVar by RootCause &amp; Severity'!J:J, 'CumVar by RootCause &amp; Severity'!B:B, A149)</f>
        <v>0</v>
      </c>
      <c r="G149" s="15"/>
      <c r="H149" s="16"/>
    </row>
    <row r="150" spans="1:8" x14ac:dyDescent="0.3">
      <c r="A150" s="152" t="s">
        <v>224</v>
      </c>
      <c r="B150" s="153"/>
      <c r="C150" s="35">
        <f>SUMIFS('CumVar by RootCause &amp; Severity'!G:G, 'CumVar by RootCause &amp; Severity'!B:B, A150)</f>
        <v>0</v>
      </c>
      <c r="D150" s="35">
        <f>SUMIFS('CumVar by RootCause &amp; Severity'!H:H, 'CumVar by RootCause &amp; Severity'!B:B, A150)</f>
        <v>1</v>
      </c>
      <c r="E150" s="35">
        <f>SUMIFS('CumVar by RootCause &amp; Severity'!I:I, 'CumVar by RootCause &amp; Severity'!B:B, A150)</f>
        <v>0</v>
      </c>
      <c r="F150" s="35">
        <f>SUMIFS('CumVar by RootCause &amp; Severity'!J:J, 'CumVar by RootCause &amp; Severity'!B:B, A150)</f>
        <v>0</v>
      </c>
      <c r="G150" s="15"/>
      <c r="H150" s="16"/>
    </row>
    <row r="151" spans="1:8" x14ac:dyDescent="0.3">
      <c r="A151" s="152" t="s">
        <v>156</v>
      </c>
      <c r="B151" s="153"/>
      <c r="C151" s="35">
        <f>SUMIFS('CumVar by RootCause &amp; Severity'!G:G, 'CumVar by RootCause &amp; Severity'!B:B, A151)</f>
        <v>0</v>
      </c>
      <c r="D151" s="35">
        <f>SUMIFS('CumVar by RootCause &amp; Severity'!H:H, 'CumVar by RootCause &amp; Severity'!B:B, A151)</f>
        <v>1</v>
      </c>
      <c r="E151" s="35">
        <f>SUMIFS('CumVar by RootCause &amp; Severity'!I:I, 'CumVar by RootCause &amp; Severity'!B:B, A151)</f>
        <v>0</v>
      </c>
      <c r="F151" s="35">
        <f>SUMIFS('CumVar by RootCause &amp; Severity'!J:J, 'CumVar by RootCause &amp; Severity'!B:B, A151)</f>
        <v>0</v>
      </c>
      <c r="G151" s="15"/>
      <c r="H151" s="16"/>
    </row>
    <row r="152" spans="1:8" x14ac:dyDescent="0.3">
      <c r="A152" s="152" t="s">
        <v>225</v>
      </c>
      <c r="B152" s="153"/>
      <c r="C152" s="35">
        <f>SUMIFS('CumVar by RootCause &amp; Severity'!G:G, 'CumVar by RootCause &amp; Severity'!B:B, A152)</f>
        <v>0</v>
      </c>
      <c r="D152" s="35">
        <f>SUMIFS('CumVar by RootCause &amp; Severity'!H:H, 'CumVar by RootCause &amp; Severity'!B:B, A152)</f>
        <v>2</v>
      </c>
      <c r="E152" s="35">
        <f>SUMIFS('CumVar by RootCause &amp; Severity'!I:I, 'CumVar by RootCause &amp; Severity'!B:B, A152)</f>
        <v>9</v>
      </c>
      <c r="F152" s="35">
        <f>SUMIFS('CumVar by RootCause &amp; Severity'!J:J, 'CumVar by RootCause &amp; Severity'!B:B, A152)</f>
        <v>0</v>
      </c>
      <c r="G152" s="15"/>
      <c r="H152" s="16"/>
    </row>
    <row r="153" spans="1:8" x14ac:dyDescent="0.3">
      <c r="A153" s="152" t="s">
        <v>226</v>
      </c>
      <c r="B153" s="153"/>
      <c r="C153" s="35">
        <f>SUMIFS('CumVar by RootCause &amp; Severity'!G:G, 'CumVar by RootCause &amp; Severity'!B:B, A153)</f>
        <v>0</v>
      </c>
      <c r="D153" s="35">
        <f>SUMIFS('CumVar by RootCause &amp; Severity'!H:H, 'CumVar by RootCause &amp; Severity'!B:B, A153)</f>
        <v>6</v>
      </c>
      <c r="E153" s="35">
        <f>SUMIFS('CumVar by RootCause &amp; Severity'!I:I, 'CumVar by RootCause &amp; Severity'!B:B, A153)</f>
        <v>3</v>
      </c>
      <c r="F153" s="35">
        <f>SUMIFS('CumVar by RootCause &amp; Severity'!J:J, 'CumVar by RootCause &amp; Severity'!B:B, A153)</f>
        <v>0</v>
      </c>
      <c r="G153" s="15"/>
      <c r="H153" s="16"/>
    </row>
    <row r="154" spans="1:8" x14ac:dyDescent="0.3">
      <c r="A154" s="152" t="s">
        <v>219</v>
      </c>
      <c r="B154" s="153"/>
      <c r="C154" s="35">
        <f>SUMIFS('CumVar by RootCause &amp; Severity'!G:G, 'CumVar by RootCause &amp; Severity'!B:B, A154)</f>
        <v>0</v>
      </c>
      <c r="D154" s="35">
        <f>SUMIFS('CumVar by RootCause &amp; Severity'!H:H, 'CumVar by RootCause &amp; Severity'!B:B, A154)</f>
        <v>3</v>
      </c>
      <c r="E154" s="35">
        <f>SUMIFS('CumVar by RootCause &amp; Severity'!I:I, 'CumVar by RootCause &amp; Severity'!B:B, A154)</f>
        <v>0</v>
      </c>
      <c r="F154" s="35">
        <f>SUMIFS('CumVar by RootCause &amp; Severity'!J:J, 'CumVar by RootCause &amp; Severity'!B:B, A154)</f>
        <v>0</v>
      </c>
      <c r="G154" s="15"/>
      <c r="H154" s="16"/>
    </row>
    <row r="155" spans="1:8" x14ac:dyDescent="0.3">
      <c r="A155" s="160" t="s">
        <v>227</v>
      </c>
      <c r="B155" s="161"/>
      <c r="C155" s="35">
        <f>SUMIFS('CumVar by RootCause &amp; Severity'!G:G, 'CumVar by RootCause &amp; Severity'!B:B, A155)</f>
        <v>0</v>
      </c>
      <c r="D155" s="35">
        <f>SUMIFS('CumVar by RootCause &amp; Severity'!H:H, 'CumVar by RootCause &amp; Severity'!B:B, A155)</f>
        <v>0</v>
      </c>
      <c r="E155" s="35">
        <f>SUMIFS('CumVar by RootCause &amp; Severity'!I:I, 'CumVar by RootCause &amp; Severity'!B:B, A155)</f>
        <v>0</v>
      </c>
      <c r="F155" s="35">
        <f>SUMIFS('CumVar by RootCause &amp; Severity'!J:J, 'CumVar by RootCause &amp; Severity'!B:B, A155)</f>
        <v>0</v>
      </c>
      <c r="G155" s="15"/>
      <c r="H155" s="16"/>
    </row>
    <row r="156" spans="1:8" x14ac:dyDescent="0.3">
      <c r="A156" s="160" t="s">
        <v>155</v>
      </c>
      <c r="B156" s="161"/>
      <c r="C156" s="35">
        <f>SUMIFS('CumVar by RootCause &amp; Severity'!G:G, 'CumVar by RootCause &amp; Severity'!B:B, A156)</f>
        <v>3</v>
      </c>
      <c r="D156" s="35">
        <f>SUMIFS('CumVar by RootCause &amp; Severity'!H:H, 'CumVar by RootCause &amp; Severity'!B:B, A156)</f>
        <v>0</v>
      </c>
      <c r="E156" s="35">
        <f>SUMIFS('CumVar by RootCause &amp; Severity'!I:I, 'CumVar by RootCause &amp; Severity'!B:B, A156)</f>
        <v>0</v>
      </c>
      <c r="F156" s="35">
        <f>SUMIFS('CumVar by RootCause &amp; Severity'!J:J, 'CumVar by RootCause &amp; Severity'!B:B, A156)</f>
        <v>0</v>
      </c>
      <c r="G156" s="15"/>
      <c r="H156" s="16"/>
    </row>
    <row r="157" spans="1:8" x14ac:dyDescent="0.3">
      <c r="A157" s="160" t="s">
        <v>261</v>
      </c>
      <c r="B157" s="161"/>
      <c r="C157" s="35">
        <f>SUMIFS('CumVar by RootCause &amp; Severity'!G:G, 'CumVar by RootCause &amp; Severity'!B:B, A157)</f>
        <v>0</v>
      </c>
      <c r="D157" s="35">
        <f>SUMIFS('CumVar by RootCause &amp; Severity'!H:H, 'CumVar by RootCause &amp; Severity'!B:B, A157)</f>
        <v>2</v>
      </c>
      <c r="E157" s="35">
        <f>SUMIFS('CumVar by RootCause &amp; Severity'!I:I, 'CumVar by RootCause &amp; Severity'!B:B, A157)</f>
        <v>0</v>
      </c>
      <c r="F157" s="35">
        <f>SUMIFS('CumVar by RootCause &amp; Severity'!J:J, 'CumVar by RootCause &amp; Severity'!B:B, A157)</f>
        <v>0</v>
      </c>
      <c r="G157" s="15"/>
      <c r="H157" s="16"/>
    </row>
    <row r="158" spans="1:8" x14ac:dyDescent="0.3">
      <c r="A158" s="162" t="s">
        <v>142</v>
      </c>
      <c r="B158" s="163"/>
      <c r="C158" s="26">
        <f>SUM(C142:C157)</f>
        <v>13</v>
      </c>
      <c r="D158" s="26">
        <f>SUM(D142:D157)</f>
        <v>57</v>
      </c>
      <c r="E158" s="26">
        <f>SUM(E142:E157)</f>
        <v>55</v>
      </c>
      <c r="F158" s="26">
        <f>SUM(F142:F157)</f>
        <v>0</v>
      </c>
      <c r="G158" s="15"/>
      <c r="H158" s="16"/>
    </row>
    <row r="159" spans="1:8" x14ac:dyDescent="0.3">
      <c r="A159" s="52"/>
      <c r="B159" s="53"/>
      <c r="C159" s="38"/>
      <c r="D159" s="38"/>
      <c r="E159" s="38"/>
      <c r="F159" s="38"/>
      <c r="G159" s="15"/>
      <c r="H159" s="16"/>
    </row>
    <row r="160" spans="1:8" x14ac:dyDescent="0.3">
      <c r="A160" s="47"/>
      <c r="B160" s="22"/>
      <c r="C160" s="22"/>
      <c r="D160" s="22"/>
      <c r="E160" s="22"/>
      <c r="F160" s="15"/>
      <c r="G160" s="15"/>
      <c r="H160" s="16"/>
    </row>
    <row r="161" spans="1:12" x14ac:dyDescent="0.3">
      <c r="A161" s="176" t="s">
        <v>195</v>
      </c>
      <c r="B161" s="176"/>
      <c r="C161" s="22"/>
      <c r="D161" s="22"/>
      <c r="E161" s="22"/>
      <c r="F161" s="15"/>
      <c r="G161" s="15" t="str" cm="1">
        <f t="array" ref="G161">IF(SUM(((AssignPeopleToDepartments!A:A=0)+ISBLANK(AssignPeopleToDepartments!A:A)&lt;&gt;0)-ISBLANK(AssignPeopleToDepartments!B:B))&gt;=0, "", "ERROR: Check AssignPeopleToDepartments Sheet")</f>
        <v>ERROR: Check AssignPeopleToDepartments Sheet</v>
      </c>
      <c r="H161" s="16"/>
    </row>
    <row r="162" spans="1:12" x14ac:dyDescent="0.3">
      <c r="A162" s="54"/>
      <c r="B162" s="57" t="s">
        <v>196</v>
      </c>
      <c r="C162" s="57" t="s">
        <v>197</v>
      </c>
      <c r="D162" s="57" t="s">
        <v>198</v>
      </c>
      <c r="E162" s="57" t="s">
        <v>199</v>
      </c>
      <c r="F162" s="57" t="s">
        <v>240</v>
      </c>
      <c r="G162" s="57" t="s">
        <v>142</v>
      </c>
      <c r="H162" s="16"/>
    </row>
    <row r="163" spans="1:12" x14ac:dyDescent="0.3">
      <c r="A163" s="55" t="s">
        <v>372</v>
      </c>
      <c r="B163" s="56">
        <f ca="1">IFERROR(SUMIFS(INDEX(AssignPeopleToDepartmentsHelper!C:F, , ROW()-162), AssignPeopleToDepartmentsHelper!B:B, DSR!B$162), 0)</f>
        <v>1</v>
      </c>
      <c r="C163" s="56">
        <f ca="1">IFERROR(SUMIFS(INDEX(AssignPeopleToDepartmentsHelper!C:F, , ROW()-162), AssignPeopleToDepartmentsHelper!B:B, DSR!C$162), 0)</f>
        <v>1</v>
      </c>
      <c r="D163" s="56">
        <f ca="1">IFERROR(SUMIFS(INDEX(AssignPeopleToDepartmentsHelper!C:F, , ROW()-162), AssignPeopleToDepartmentsHelper!B:B, DSR!D$162), 0)</f>
        <v>1</v>
      </c>
      <c r="E163" s="56">
        <f ca="1">IFERROR(SUMIFS(INDEX(AssignPeopleToDepartmentsHelper!C:F, , ROW()-162), AssignPeopleToDepartmentsHelper!B:B, DSR!E$162), 0)</f>
        <v>9</v>
      </c>
      <c r="F163" s="56">
        <f ca="1">IFERROR(SUMIFS(INDEX(AssignPeopleToDepartmentsHelper!C:F, , ROW()-162), AssignPeopleToDepartmentsHelper!B:B, DSR!F$162), 0)</f>
        <v>0</v>
      </c>
      <c r="G163" s="56">
        <f ca="1">+SUM(B163:F163)</f>
        <v>12</v>
      </c>
      <c r="H163" s="16"/>
    </row>
    <row r="164" spans="1:12" x14ac:dyDescent="0.3">
      <c r="A164" s="55" t="s">
        <v>373</v>
      </c>
      <c r="B164" s="56">
        <f ca="1">IFERROR(SUMIFS(INDEX(AssignPeopleToDepartmentsHelper!C:F, , ROW()-162), AssignPeopleToDepartmentsHelper!B:B, DSR!B$162), 0)</f>
        <v>6</v>
      </c>
      <c r="C164" s="56">
        <f ca="1">IFERROR(SUMIFS(INDEX(AssignPeopleToDepartmentsHelper!C:F, , ROW()-162), AssignPeopleToDepartmentsHelper!B:B, DSR!C$162), 0)</f>
        <v>1</v>
      </c>
      <c r="D164" s="56">
        <f ca="1">IFERROR(SUMIFS(INDEX(AssignPeopleToDepartmentsHelper!C:F, , ROW()-162), AssignPeopleToDepartmentsHelper!B:B, DSR!D$162), 0)</f>
        <v>7</v>
      </c>
      <c r="E164" s="56">
        <f ca="1">IFERROR(SUMIFS(INDEX(AssignPeopleToDepartmentsHelper!C:F, , ROW()-162), AssignPeopleToDepartmentsHelper!B:B, DSR!E$162), 0)</f>
        <v>36</v>
      </c>
      <c r="F164" s="56">
        <f ca="1">IFERROR(SUMIFS(INDEX(AssignPeopleToDepartmentsHelper!C:F, , ROW()-162), AssignPeopleToDepartmentsHelper!B:B, DSR!F$162), 0)</f>
        <v>6</v>
      </c>
      <c r="G164" s="56">
        <f t="shared" ref="G164:G166" ca="1" si="1">+SUM(B164:F164)</f>
        <v>56</v>
      </c>
      <c r="H164" s="16"/>
    </row>
    <row r="165" spans="1:12" x14ac:dyDescent="0.3">
      <c r="A165" s="55" t="s">
        <v>374</v>
      </c>
      <c r="B165" s="56">
        <f ca="1">IFERROR(SUMIFS(INDEX(AssignPeopleToDepartmentsHelper!C:F, , ROW()-162), AssignPeopleToDepartmentsHelper!B:B, DSR!B$162), 0)</f>
        <v>3</v>
      </c>
      <c r="C165" s="56">
        <f ca="1">IFERROR(SUMIFS(INDEX(AssignPeopleToDepartmentsHelper!C:F, , ROW()-162), AssignPeopleToDepartmentsHelper!B:B, DSR!C$162), 0)</f>
        <v>0</v>
      </c>
      <c r="D165" s="56">
        <f ca="1">IFERROR(SUMIFS(INDEX(AssignPeopleToDepartmentsHelper!C:F, , ROW()-162), AssignPeopleToDepartmentsHelper!B:B, DSR!D$162), 0)</f>
        <v>0</v>
      </c>
      <c r="E165" s="56">
        <f ca="1">IFERROR(SUMIFS(INDEX(AssignPeopleToDepartmentsHelper!C:F, , ROW()-162), AssignPeopleToDepartmentsHelper!B:B, DSR!E$162), 0)</f>
        <v>44</v>
      </c>
      <c r="F165" s="56">
        <f ca="1">IFERROR(SUMIFS(INDEX(AssignPeopleToDepartmentsHelper!C:F, , ROW()-162), AssignPeopleToDepartmentsHelper!B:B, DSR!F$162), 0)</f>
        <v>8</v>
      </c>
      <c r="G165" s="56">
        <f t="shared" ca="1" si="1"/>
        <v>55</v>
      </c>
      <c r="H165" s="16"/>
    </row>
    <row r="166" spans="1:12" x14ac:dyDescent="0.3">
      <c r="A166" s="55" t="s">
        <v>375</v>
      </c>
      <c r="B166" s="56">
        <f ca="1">IFERROR(SUMIFS(INDEX(AssignPeopleToDepartmentsHelper!C:F, , ROW()-162), AssignPeopleToDepartmentsHelper!B:B, DSR!B$162), 0)</f>
        <v>0</v>
      </c>
      <c r="C166" s="56">
        <f ca="1">IFERROR(SUMIFS(INDEX(AssignPeopleToDepartmentsHelper!C:F, , ROW()-162), AssignPeopleToDepartmentsHelper!B:B, DSR!C$162), 0)</f>
        <v>0</v>
      </c>
      <c r="D166" s="56">
        <f ca="1">IFERROR(SUMIFS(INDEX(AssignPeopleToDepartmentsHelper!C:F, , ROW()-162), AssignPeopleToDepartmentsHelper!B:B, DSR!D$162), 0)</f>
        <v>0</v>
      </c>
      <c r="E166" s="56">
        <f ca="1">IFERROR(SUMIFS(INDEX(AssignPeopleToDepartmentsHelper!C:F, , ROW()-162), AssignPeopleToDepartmentsHelper!B:B, DSR!E$162), 0)</f>
        <v>0</v>
      </c>
      <c r="F166" s="56">
        <f ca="1">IFERROR(SUMIFS(INDEX(AssignPeopleToDepartmentsHelper!C:F, , ROW()-162), AssignPeopleToDepartmentsHelper!B:B, DSR!F$162), 0)</f>
        <v>0</v>
      </c>
      <c r="G166" s="56">
        <f t="shared" ca="1" si="1"/>
        <v>0</v>
      </c>
      <c r="H166" s="16"/>
    </row>
    <row r="167" spans="1:12" x14ac:dyDescent="0.3">
      <c r="A167" s="54" t="s">
        <v>200</v>
      </c>
      <c r="B167" s="57">
        <f t="shared" ref="B167:F167" ca="1" si="2">+SUM(B163:B166)</f>
        <v>10</v>
      </c>
      <c r="C167" s="57">
        <f t="shared" ca="1" si="2"/>
        <v>2</v>
      </c>
      <c r="D167" s="57">
        <f t="shared" ca="1" si="2"/>
        <v>8</v>
      </c>
      <c r="E167" s="57">
        <f t="shared" ca="1" si="2"/>
        <v>89</v>
      </c>
      <c r="F167" s="57">
        <f t="shared" ca="1" si="2"/>
        <v>14</v>
      </c>
      <c r="G167" s="57">
        <f ca="1">+SUM(G163:G166)</f>
        <v>123</v>
      </c>
      <c r="H167" s="16"/>
    </row>
    <row r="168" spans="1:12" x14ac:dyDescent="0.3">
      <c r="A168" s="47"/>
      <c r="B168" s="22"/>
      <c r="C168" s="22"/>
      <c r="D168" s="22"/>
      <c r="E168" s="22"/>
      <c r="F168" s="15"/>
      <c r="G168" s="15"/>
      <c r="H168" s="16"/>
    </row>
    <row r="169" spans="1:12" x14ac:dyDescent="0.3">
      <c r="A169" s="25"/>
      <c r="B169" s="15"/>
      <c r="C169" s="15"/>
      <c r="D169" s="15"/>
      <c r="E169" s="22"/>
      <c r="F169" s="15"/>
      <c r="G169" s="15"/>
      <c r="H169" s="16"/>
    </row>
    <row r="170" spans="1:12" x14ac:dyDescent="0.3">
      <c r="A170" s="177" t="s">
        <v>201</v>
      </c>
      <c r="B170" s="178"/>
      <c r="C170" s="178"/>
      <c r="D170" s="15"/>
      <c r="E170" s="22"/>
      <c r="F170" s="15"/>
      <c r="G170" s="15"/>
      <c r="H170" s="16"/>
    </row>
    <row r="171" spans="1:12" x14ac:dyDescent="0.3">
      <c r="A171" s="179"/>
      <c r="B171" s="180"/>
      <c r="C171" s="67" t="s">
        <v>157</v>
      </c>
      <c r="D171" s="67" t="s">
        <v>158</v>
      </c>
      <c r="E171" s="66" t="s">
        <v>159</v>
      </c>
      <c r="F171" s="15"/>
      <c r="G171" s="15"/>
      <c r="H171" s="16"/>
      <c r="L171" s="14" t="s">
        <v>166</v>
      </c>
    </row>
    <row r="172" spans="1:12" x14ac:dyDescent="0.3">
      <c r="A172" s="181" t="s">
        <v>202</v>
      </c>
      <c r="B172" s="182"/>
      <c r="C172" s="49">
        <f>'Cumulative SIT Effectiveness'!B2</f>
        <v>102</v>
      </c>
      <c r="D172" s="49">
        <f>SUM('Cumulative SIT Effectiveness'!C:C)</f>
        <v>23</v>
      </c>
      <c r="E172" s="41">
        <f>IFERROR(C172/(C172+D172),0)</f>
        <v>0.81599999999999995</v>
      </c>
      <c r="F172" s="15"/>
      <c r="G172" s="15"/>
      <c r="H172" s="16"/>
    </row>
    <row r="173" spans="1:12" x14ac:dyDescent="0.3">
      <c r="A173" s="145" t="s">
        <v>203</v>
      </c>
      <c r="B173" s="146"/>
      <c r="C173" s="146"/>
      <c r="D173" s="146"/>
      <c r="E173" s="146"/>
      <c r="F173" s="146"/>
      <c r="G173" s="146"/>
      <c r="H173" s="147"/>
    </row>
    <row r="174" spans="1:12" x14ac:dyDescent="0.3">
      <c r="A174" s="183" t="s">
        <v>204</v>
      </c>
      <c r="B174" s="184"/>
      <c r="C174" s="184"/>
      <c r="D174" s="184"/>
      <c r="E174" s="184"/>
      <c r="F174" s="184"/>
      <c r="G174" s="184"/>
      <c r="H174" s="185"/>
    </row>
    <row r="175" spans="1:12" x14ac:dyDescent="0.3">
      <c r="A175" s="59"/>
      <c r="B175" s="58"/>
      <c r="C175" s="22"/>
      <c r="D175" s="22"/>
      <c r="E175" s="22"/>
      <c r="F175" s="15"/>
      <c r="G175" s="15"/>
      <c r="H175" s="16"/>
    </row>
    <row r="176" spans="1:12" x14ac:dyDescent="0.3">
      <c r="A176" s="60"/>
      <c r="B176" s="61"/>
      <c r="C176" s="62"/>
      <c r="D176" s="62"/>
      <c r="E176" s="62"/>
      <c r="F176" s="62"/>
      <c r="G176" s="61"/>
      <c r="H176" s="63"/>
    </row>
    <row r="177" spans="3:6" x14ac:dyDescent="0.3">
      <c r="C177" s="13"/>
      <c r="D177" s="13"/>
      <c r="E177" s="13"/>
      <c r="F177" s="13"/>
    </row>
    <row r="178" spans="3:6" x14ac:dyDescent="0.3">
      <c r="C178" s="13"/>
      <c r="D178" s="13"/>
      <c r="E178" s="13"/>
      <c r="F178" s="13"/>
    </row>
  </sheetData>
  <mergeCells count="167">
    <mergeCell ref="A161:B161"/>
    <mergeCell ref="A170:C170"/>
    <mergeCell ref="A171:B171"/>
    <mergeCell ref="A172:B172"/>
    <mergeCell ref="A173:H173"/>
    <mergeCell ref="A174:H174"/>
    <mergeCell ref="A153:B153"/>
    <mergeCell ref="A154:B154"/>
    <mergeCell ref="A155:B155"/>
    <mergeCell ref="A156:B156"/>
    <mergeCell ref="A157:B157"/>
    <mergeCell ref="A158:B158"/>
    <mergeCell ref="A147:B147"/>
    <mergeCell ref="A148:B148"/>
    <mergeCell ref="A149:B149"/>
    <mergeCell ref="A150:B150"/>
    <mergeCell ref="A151:B151"/>
    <mergeCell ref="A152:B152"/>
    <mergeCell ref="A141:B141"/>
    <mergeCell ref="A142:B142"/>
    <mergeCell ref="A143:B143"/>
    <mergeCell ref="A144:B144"/>
    <mergeCell ref="A145:B145"/>
    <mergeCell ref="A146:B146"/>
    <mergeCell ref="A112:B112"/>
    <mergeCell ref="A113:B113"/>
    <mergeCell ref="A114:B114"/>
    <mergeCell ref="A117:D117"/>
    <mergeCell ref="A131:B131"/>
    <mergeCell ref="A140:D140"/>
    <mergeCell ref="A107:B107"/>
    <mergeCell ref="C107:D107"/>
    <mergeCell ref="E107:F107"/>
    <mergeCell ref="G107:H107"/>
    <mergeCell ref="A110:C110"/>
    <mergeCell ref="A111:B111"/>
    <mergeCell ref="A105:B105"/>
    <mergeCell ref="C105:D105"/>
    <mergeCell ref="E105:F105"/>
    <mergeCell ref="G105:H105"/>
    <mergeCell ref="A106:B106"/>
    <mergeCell ref="C106:D106"/>
    <mergeCell ref="E106:F106"/>
    <mergeCell ref="G106:H106"/>
    <mergeCell ref="A103:B103"/>
    <mergeCell ref="C103:D103"/>
    <mergeCell ref="E103:F103"/>
    <mergeCell ref="G103:H103"/>
    <mergeCell ref="A104:B104"/>
    <mergeCell ref="C104:D104"/>
    <mergeCell ref="E104:F104"/>
    <mergeCell ref="G104:H104"/>
    <mergeCell ref="A101:B101"/>
    <mergeCell ref="C101:D101"/>
    <mergeCell ref="E101:F101"/>
    <mergeCell ref="G101:H101"/>
    <mergeCell ref="A102:B102"/>
    <mergeCell ref="C102:D102"/>
    <mergeCell ref="E102:F102"/>
    <mergeCell ref="G102:H102"/>
    <mergeCell ref="A99:B99"/>
    <mergeCell ref="C99:D99"/>
    <mergeCell ref="E99:F99"/>
    <mergeCell ref="G99:H99"/>
    <mergeCell ref="A100:B100"/>
    <mergeCell ref="C100:D100"/>
    <mergeCell ref="E100:F100"/>
    <mergeCell ref="G100:H100"/>
    <mergeCell ref="A97:B97"/>
    <mergeCell ref="C97:D97"/>
    <mergeCell ref="E97:F97"/>
    <mergeCell ref="G97:H97"/>
    <mergeCell ref="A98:B98"/>
    <mergeCell ref="C98:D98"/>
    <mergeCell ref="E98:F98"/>
    <mergeCell ref="G98:H98"/>
    <mergeCell ref="A95:B95"/>
    <mergeCell ref="C95:D95"/>
    <mergeCell ref="E95:F95"/>
    <mergeCell ref="G95:H95"/>
    <mergeCell ref="A96:B96"/>
    <mergeCell ref="C96:D96"/>
    <mergeCell ref="E96:F96"/>
    <mergeCell ref="G96:H96"/>
    <mergeCell ref="A93:B93"/>
    <mergeCell ref="C93:D93"/>
    <mergeCell ref="E93:F93"/>
    <mergeCell ref="G93:H93"/>
    <mergeCell ref="A94:B94"/>
    <mergeCell ref="C94:D94"/>
    <mergeCell ref="E94:F94"/>
    <mergeCell ref="G94:H94"/>
    <mergeCell ref="A91:B91"/>
    <mergeCell ref="C91:D91"/>
    <mergeCell ref="E91:F91"/>
    <mergeCell ref="G91:H91"/>
    <mergeCell ref="A92:B92"/>
    <mergeCell ref="C92:D92"/>
    <mergeCell ref="E92:F92"/>
    <mergeCell ref="G92:H92"/>
    <mergeCell ref="A89:B89"/>
    <mergeCell ref="C89:D89"/>
    <mergeCell ref="E89:F89"/>
    <mergeCell ref="G89:H89"/>
    <mergeCell ref="A90:B90"/>
    <mergeCell ref="C90:D90"/>
    <mergeCell ref="E90:F90"/>
    <mergeCell ref="G90:H90"/>
    <mergeCell ref="A87:B87"/>
    <mergeCell ref="C87:D87"/>
    <mergeCell ref="E87:F87"/>
    <mergeCell ref="G87:H87"/>
    <mergeCell ref="A88:B88"/>
    <mergeCell ref="C88:D88"/>
    <mergeCell ref="E88:F88"/>
    <mergeCell ref="G88:H88"/>
    <mergeCell ref="A79:B79"/>
    <mergeCell ref="A80:B80"/>
    <mergeCell ref="A81:B81"/>
    <mergeCell ref="A82:B82"/>
    <mergeCell ref="A83:H83"/>
    <mergeCell ref="A86:B86"/>
    <mergeCell ref="A73:B73"/>
    <mergeCell ref="A74:B74"/>
    <mergeCell ref="A75:B75"/>
    <mergeCell ref="A76:B76"/>
    <mergeCell ref="A77:B77"/>
    <mergeCell ref="A78:B78"/>
    <mergeCell ref="A65:B65"/>
    <mergeCell ref="A66:B66"/>
    <mergeCell ref="A67:B67"/>
    <mergeCell ref="A68:B68"/>
    <mergeCell ref="A69:B69"/>
    <mergeCell ref="A70:H70"/>
    <mergeCell ref="A59:B59"/>
    <mergeCell ref="A60:B60"/>
    <mergeCell ref="A62:B62"/>
    <mergeCell ref="A63:B63"/>
    <mergeCell ref="A64:B64"/>
    <mergeCell ref="A48:B48"/>
    <mergeCell ref="F48:H48"/>
    <mergeCell ref="A49:B49"/>
    <mergeCell ref="F49:H55"/>
    <mergeCell ref="A50:B50"/>
    <mergeCell ref="A51:B51"/>
    <mergeCell ref="A52:B52"/>
    <mergeCell ref="A53:B53"/>
    <mergeCell ref="A54:B54"/>
    <mergeCell ref="A55:B55"/>
    <mergeCell ref="A47:B47"/>
    <mergeCell ref="A8:B8"/>
    <mergeCell ref="C8:E8"/>
    <mergeCell ref="A10:B10"/>
    <mergeCell ref="A11:E11"/>
    <mergeCell ref="A18:B18"/>
    <mergeCell ref="C18:D18"/>
    <mergeCell ref="A19:E19"/>
    <mergeCell ref="A56:H56"/>
    <mergeCell ref="A1:H1"/>
    <mergeCell ref="A3:B3"/>
    <mergeCell ref="C3:E3"/>
    <mergeCell ref="A5:B5"/>
    <mergeCell ref="A6:B6"/>
    <mergeCell ref="A7:B7"/>
    <mergeCell ref="C7:D7"/>
    <mergeCell ref="A24:B24"/>
    <mergeCell ref="A46:C46"/>
  </mergeCells>
  <conditionalFormatting sqref="C7">
    <cfRule type="cellIs" dxfId="10" priority="1" stopIfTrue="1" operator="equal">
      <formula>"Green"</formula>
    </cfRule>
    <cfRule type="cellIs" dxfId="9" priority="2" stopIfTrue="1" operator="equal">
      <formula>"Red"</formula>
    </cfRule>
    <cfRule type="cellIs" dxfId="8" priority="3" stopIfTrue="1" operator="equal">
      <formula>"Yellow"</formula>
    </cfRule>
    <cfRule type="cellIs" dxfId="7" priority="4" stopIfTrue="1" operator="equal">
      <formula>"Blue"</formula>
    </cfRule>
    <cfRule type="cellIs" dxfId="6" priority="5" operator="equal">
      <formula>"Green Trending Yellow"</formula>
    </cfRule>
    <cfRule type="cellIs" dxfId="5" priority="6" operator="equal">
      <formula>"Yellow Trending Green"</formula>
    </cfRule>
    <cfRule type="cellIs" dxfId="4" priority="7" operator="equal">
      <formula>"Red Trending Green"</formula>
    </cfRule>
    <cfRule type="cellIs" dxfId="3" priority="8" operator="equal">
      <formula>"Green Trending Red"</formula>
    </cfRule>
    <cfRule type="cellIs" dxfId="2" priority="9" operator="equal">
      <formula>"Yellow Trending Red"</formula>
    </cfRule>
    <cfRule type="cellIs" dxfId="1" priority="10" operator="equal">
      <formula>"Red Trending Yellow"</formula>
    </cfRule>
    <cfRule type="cellIs" dxfId="0" priority="11" stopIfTrue="1" operator="equal">
      <formula>"White"</formula>
    </cfRule>
  </conditionalFormatting>
  <dataValidations count="1">
    <dataValidation type="list" allowBlank="1" showInputMessage="1" showErrorMessage="1" sqref="C7:D7" xr:uid="{639AA4DF-A8DB-4125-80B4-158CC898A60D}">
      <formula1>"Green,Yellow,Red,Green Trending Yellow,Yellow Trending Red,Yellow Trending Green,Red Trending Yellow,Green Trending Red, Red Trending Green"</formula1>
    </dataValidation>
  </dataValidations>
  <pageMargins left="0.7" right="0.7" top="0.75" bottom="0.75" header="0.3" footer="0.3"/>
  <pageSetup orientation="portrait" r:id="rId5"/>
  <drawing r:id="rId6"/>
  <extLst>
    <ext xmlns:x14="http://schemas.microsoft.com/office/spreadsheetml/2009/9/main" uri="{CCE6A557-97BC-4b89-ADB6-D9C93CAAB3DF}">
      <x14:dataValidations xmlns:xm="http://schemas.microsoft.com/office/excel/2006/main" count="1">
        <x14:dataValidation type="list" errorStyle="warning" allowBlank="1" showInputMessage="1" showErrorMessage="1" xr:uid="{D68C2468-AC4F-49AD-9376-4B8DE1972D64}">
          <x14:formula1>
            <xm:f>'Target Schedule'!$A$2:$A$217</xm:f>
          </x14:formula1>
          <xm:sqref>C5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945F-94A5-47DE-942F-58356759CE75}">
  <sheetPr codeName="Sheet26"/>
  <dimension ref="A1:E10"/>
  <sheetViews>
    <sheetView workbookViewId="0">
      <selection sqref="A1:XFD1048576"/>
    </sheetView>
  </sheetViews>
  <sheetFormatPr defaultRowHeight="14.4" x14ac:dyDescent="0.35"/>
  <cols>
    <col min="1" max="1" width="21" bestFit="1" customWidth="1"/>
    <col min="2" max="2" width="14" bestFit="1" customWidth="1"/>
    <col min="3" max="3" width="19.33203125" bestFit="1" customWidth="1"/>
    <col min="4" max="4" width="16.88671875" bestFit="1" customWidth="1"/>
    <col min="5" max="5" width="11.88671875" bestFit="1" customWidth="1"/>
  </cols>
  <sheetData>
    <row r="1" spans="1:5" x14ac:dyDescent="0.35">
      <c r="A1" t="s">
        <v>545</v>
      </c>
      <c r="B1" t="s">
        <v>546</v>
      </c>
      <c r="C1" t="s">
        <v>547</v>
      </c>
      <c r="D1" t="s">
        <v>531</v>
      </c>
      <c r="E1" t="s">
        <v>548</v>
      </c>
    </row>
    <row r="2" spans="1:5" x14ac:dyDescent="0.35">
      <c r="A2" t="s">
        <v>671</v>
      </c>
      <c r="B2">
        <v>0</v>
      </c>
      <c r="C2">
        <v>0</v>
      </c>
      <c r="D2">
        <v>1</v>
      </c>
      <c r="E2">
        <v>1</v>
      </c>
    </row>
    <row r="3" spans="1:5" x14ac:dyDescent="0.35">
      <c r="A3" t="s">
        <v>689</v>
      </c>
      <c r="B3">
        <v>1</v>
      </c>
      <c r="C3">
        <v>0</v>
      </c>
      <c r="D3">
        <v>0</v>
      </c>
      <c r="E3">
        <v>1</v>
      </c>
    </row>
    <row r="4" spans="1:5" x14ac:dyDescent="0.35">
      <c r="A4" t="s">
        <v>238</v>
      </c>
      <c r="B4">
        <v>11</v>
      </c>
      <c r="C4">
        <v>0</v>
      </c>
      <c r="D4">
        <v>0</v>
      </c>
      <c r="E4">
        <v>11</v>
      </c>
    </row>
    <row r="5" spans="1:5" x14ac:dyDescent="0.35">
      <c r="A5" t="s">
        <v>690</v>
      </c>
      <c r="B5">
        <v>2</v>
      </c>
      <c r="C5">
        <v>0</v>
      </c>
      <c r="D5">
        <v>0</v>
      </c>
      <c r="E5">
        <v>2</v>
      </c>
    </row>
    <row r="6" spans="1:5" x14ac:dyDescent="0.35">
      <c r="A6" t="s">
        <v>691</v>
      </c>
      <c r="B6">
        <v>1</v>
      </c>
      <c r="C6">
        <v>0</v>
      </c>
      <c r="D6">
        <v>0</v>
      </c>
      <c r="E6">
        <v>1</v>
      </c>
    </row>
    <row r="7" spans="1:5" x14ac:dyDescent="0.35">
      <c r="A7" t="s">
        <v>692</v>
      </c>
      <c r="B7">
        <v>1</v>
      </c>
      <c r="C7">
        <v>0</v>
      </c>
      <c r="D7">
        <v>1</v>
      </c>
      <c r="E7">
        <v>2</v>
      </c>
    </row>
    <row r="8" spans="1:5" x14ac:dyDescent="0.35">
      <c r="A8" t="s">
        <v>672</v>
      </c>
      <c r="B8">
        <v>12</v>
      </c>
      <c r="C8">
        <v>0</v>
      </c>
      <c r="D8">
        <v>0</v>
      </c>
      <c r="E8">
        <v>12</v>
      </c>
    </row>
    <row r="9" spans="1:5" x14ac:dyDescent="0.35">
      <c r="A9" t="s">
        <v>693</v>
      </c>
      <c r="B9">
        <v>95</v>
      </c>
      <c r="C9">
        <v>0</v>
      </c>
      <c r="D9">
        <v>0</v>
      </c>
      <c r="E9">
        <v>95</v>
      </c>
    </row>
    <row r="10" spans="1:5" x14ac:dyDescent="0.35">
      <c r="A10" t="s">
        <v>549</v>
      </c>
      <c r="B10">
        <v>123</v>
      </c>
      <c r="C10">
        <v>0</v>
      </c>
      <c r="D10">
        <v>2</v>
      </c>
      <c r="E10">
        <v>125</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CD7E8-DCE8-4B8A-8A51-5AC3B48F793A}">
  <sheetPr codeName="Sheet20"/>
  <dimension ref="A2:E6"/>
  <sheetViews>
    <sheetView zoomScale="66" workbookViewId="0">
      <selection activeCell="C6" sqref="C6"/>
    </sheetView>
  </sheetViews>
  <sheetFormatPr defaultRowHeight="14.4" x14ac:dyDescent="0.35"/>
  <cols>
    <col min="3" max="3" width="26.44140625" customWidth="1"/>
  </cols>
  <sheetData>
    <row r="2" spans="1:5" x14ac:dyDescent="0.35">
      <c r="A2" t="s">
        <v>235</v>
      </c>
      <c r="B2" t="e">
        <f ca="1">DSR!C62+DSR!D62&amp;" out of "&amp;DSR!C60+DSR!D60&amp;" ("&amp;ROUND(100*DSR!F62,1)&amp;"%) tests have been executed with a pass rate of "&amp;ROUND(100*DSR!F63,1)&amp;"%. 
"&amp;DSR!C61+DSR!D61&amp;" tests have been planned to be done by today ("&amp;IFERROR(ROUND(100*(DSR!C62+DSR!D62)/(DSR!C61+DSR!D61),1),0)&amp;"% reached). 
"&amp;DSR!F128&amp;" defects have been logged. "&amp;DSR!F120+DSR!F119+DSR!F124&amp;" defects are open, "&amp;DSR!F122+DSR!F123&amp;" are being monitored and "&amp;DSR!F127+DSR!F121+DSR!F125+DSR!F126&amp;" defects are closed. 
Today, "&amp;DSR!C49+DSR!D49&amp;" out of the "&amp;DSR!C47&amp;" daily target tests have been executed with a pass rate of "&amp;ROUND(100*DSR!E50,1)&amp;"%. "&amp;DSR!C112&amp;" defects were opened and "&amp;DSR!C113&amp;" defects were closed."</f>
        <v>#N/A</v>
      </c>
    </row>
    <row r="4" spans="1:5" x14ac:dyDescent="0.35">
      <c r="A4" t="s">
        <v>126</v>
      </c>
      <c r="B4" t="e" cm="1" vm="3">
        <f t="array" ref="B4">_xlfn.TEXTJOIN("", TRUE,_xlfn.ANCHORARRAY( D6) &amp; " Sev " &amp;_xlfn.ANCHORARRAY( B6) &amp; " defect, assigned to " &amp;_xlfn.ANCHORARRAY( E6) &amp; ": " &amp;_xlfn.ANCHORARRAY( C6) &amp; "
")</f>
        <v>#VALUE!</v>
      </c>
    </row>
    <row r="5" spans="1:5" x14ac:dyDescent="0.35">
      <c r="B5" t="s">
        <v>20</v>
      </c>
      <c r="C5" t="s">
        <v>408</v>
      </c>
      <c r="D5" t="s">
        <v>22</v>
      </c>
      <c r="E5" t="s">
        <v>409</v>
      </c>
    </row>
    <row r="6" spans="1:5" x14ac:dyDescent="0.35">
      <c r="B6" t="e" cm="1" vm="4">
        <f t="array" ref="B6">(_xlfn._xlws.FILTER('CumVar by Department'!D:D,'CumVar by Department'!F:F&lt;&gt;0))</f>
        <v>#VALUE!</v>
      </c>
      <c r="C6" t="e" cm="1" vm="4">
        <f t="array" ref="C6">LEFT(_xlfn._xlws.FILTER('CumVar by Department'!F:F,'CumVar by Department'!F:F&lt;&gt;0), 1000)</f>
        <v>#VALUE!</v>
      </c>
      <c r="D6" t="e" cm="1" vm="4">
        <f t="array" ref="D6">_xlfn.LET(_xlpm.status,_xlfn._xlws.FILTER('CumVar by Department'!E:E,'CumVar by Department'!F:F&lt;&gt;0),IF(_xlpm.status="New",_xlpm.status,_xlpm.status&amp;"ed"))</f>
        <v>#VALUE!</v>
      </c>
      <c r="E6" t="e" cm="1" vm="4">
        <f t="array" ref="E6">_xlfn.LET(_xlpm.names, _xlfn._xlws.FILTER('CumVar by Department'!C:C, 'CumVar by Department'!F:F&lt;&gt;0), PROPER(LEFT(_xlpm.names))&amp; " " &amp;PROPER(MID(_xlpm.names, 2, 100)))</f>
        <v>#VALUE!</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7936-733F-4C36-8459-28A4258D20B5}">
  <sheetPr codeName="Sheet19"/>
  <dimension ref="A1:E286"/>
  <sheetViews>
    <sheetView tabSelected="1" workbookViewId="0">
      <selection activeCell="H33" sqref="H33"/>
    </sheetView>
  </sheetViews>
  <sheetFormatPr defaultRowHeight="14.4" x14ac:dyDescent="0.35"/>
  <cols>
    <col min="1" max="1" width="19.6640625" style="3" bestFit="1" customWidth="1"/>
    <col min="2" max="2" width="19.33203125" bestFit="1" customWidth="1"/>
    <col min="3" max="3" width="29.6640625" bestFit="1" customWidth="1"/>
    <col min="4" max="4" width="27.6640625" bestFit="1" customWidth="1"/>
    <col min="5" max="5" width="28.88671875" bestFit="1" customWidth="1"/>
  </cols>
  <sheetData>
    <row r="1" spans="1:5" x14ac:dyDescent="0.35">
      <c r="A1" s="74" t="s">
        <v>125</v>
      </c>
      <c r="B1" s="78" t="str" cm="1">
        <f t="array" aca="1" ref="B1" ca="1">INDIRECT("DSR!C"&amp;Ranges!B3)</f>
        <v>SIT Cycle 2</v>
      </c>
      <c r="D1" s="77" t="s">
        <v>388</v>
      </c>
      <c r="E1" s="82">
        <f>DSR!C60</f>
        <v>142</v>
      </c>
    </row>
    <row r="2" spans="1:5" x14ac:dyDescent="0.35">
      <c r="A2" s="74" t="s">
        <v>382</v>
      </c>
      <c r="B2" s="79">
        <f ca="1">VLOOKUP(B1, DSR!A26:E43, 3)</f>
        <v>45782</v>
      </c>
      <c r="C2" s="3"/>
      <c r="D2" s="77" t="s">
        <v>387</v>
      </c>
      <c r="E2" s="82">
        <f>DSR!D60</f>
        <v>378</v>
      </c>
    </row>
    <row r="3" spans="1:5" x14ac:dyDescent="0.35">
      <c r="A3" s="76" t="s">
        <v>383</v>
      </c>
      <c r="B3" s="80">
        <f ca="1">VLOOKUP(B1, DSR!A26:E43, 5)</f>
        <v>45812</v>
      </c>
      <c r="C3" s="3"/>
    </row>
    <row r="4" spans="1:5" x14ac:dyDescent="0.35">
      <c r="A4" s="75" t="s">
        <v>384</v>
      </c>
      <c r="B4" s="81">
        <f ca="1">NETWORKDAYS(B2,B3)</f>
        <v>23</v>
      </c>
    </row>
    <row r="5" spans="1:5" x14ac:dyDescent="0.35">
      <c r="A5"/>
      <c r="B5" s="109" t="s">
        <v>394</v>
      </c>
    </row>
    <row r="6" spans="1:5" x14ac:dyDescent="0.35">
      <c r="B6" s="3" t="s">
        <v>393</v>
      </c>
      <c r="C6" s="3"/>
    </row>
    <row r="7" spans="1:5" x14ac:dyDescent="0.35">
      <c r="B7" s="3" t="s">
        <v>407</v>
      </c>
      <c r="C7" s="3"/>
    </row>
    <row r="8" spans="1:5" x14ac:dyDescent="0.35">
      <c r="A8" s="97" t="s">
        <v>163</v>
      </c>
      <c r="B8" s="98" t="s">
        <v>386</v>
      </c>
      <c r="C8" s="99" t="s">
        <v>385</v>
      </c>
      <c r="D8" s="100" t="s">
        <v>389</v>
      </c>
      <c r="E8" s="101" t="s">
        <v>390</v>
      </c>
    </row>
    <row r="9" spans="1:5" x14ac:dyDescent="0.35">
      <c r="A9" s="92" t="e" cm="1" vm="2">
        <f t="array" aca="1" ref="A9" ca="1">_xlfn.MAP(_xlfn.SEQUENCE(B4,1,0), _xlfn.LAMBDA(_xlpm.x, WORKDAY(B2, _xlpm.x)))</f>
        <v>#NAME?</v>
      </c>
      <c r="B9" s="93" cm="1">
        <f t="array" aca="1" ref="B9:B31" ca="1">_xlfn.SEQUENCE(B4,1,QUOTIENT(E1,B4),0)+IF(_xlfn.SEQUENCE(B4,1)&lt;=MOD(E1,B4), TRUE)</f>
        <v>7</v>
      </c>
      <c r="C9" s="94" cm="1">
        <f t="array" aca="1" ref="C9:C31" ca="1">_xlfn.SEQUENCE(B4,1,QUOTIENT(E2,B4),0)+IF(_xlfn.SEQUENCE(B4,1)&lt;=MOD(E2,B4), TRUE)</f>
        <v>17</v>
      </c>
      <c r="D9" s="95">
        <f ca="1">SUM(B$9:B9)</f>
        <v>7</v>
      </c>
      <c r="E9" s="96">
        <f ca="1">SUM(C$9:C9)</f>
        <v>17</v>
      </c>
    </row>
    <row r="10" spans="1:5" x14ac:dyDescent="0.35">
      <c r="A10" s="83"/>
      <c r="B10" s="93">
        <f ca="1"/>
        <v>7</v>
      </c>
      <c r="C10" s="85">
        <f ca="1"/>
        <v>17</v>
      </c>
      <c r="D10" s="87">
        <f ca="1">SUM(B$9:B10)</f>
        <v>14</v>
      </c>
      <c r="E10" s="86">
        <f ca="1">SUM(C$9:C10)</f>
        <v>34</v>
      </c>
    </row>
    <row r="11" spans="1:5" x14ac:dyDescent="0.35">
      <c r="A11" s="83"/>
      <c r="B11" s="93">
        <f ca="1"/>
        <v>7</v>
      </c>
      <c r="C11" s="85">
        <f ca="1"/>
        <v>17</v>
      </c>
      <c r="D11" s="87">
        <f ca="1">SUM(B$9:B11)</f>
        <v>21</v>
      </c>
      <c r="E11" s="86">
        <f ca="1">SUM(C$9:C11)</f>
        <v>51</v>
      </c>
    </row>
    <row r="12" spans="1:5" x14ac:dyDescent="0.35">
      <c r="A12" s="83"/>
      <c r="B12" s="93">
        <f ca="1"/>
        <v>7</v>
      </c>
      <c r="C12" s="85">
        <f ca="1"/>
        <v>17</v>
      </c>
      <c r="D12" s="87">
        <f ca="1">SUM(B$9:B12)</f>
        <v>28</v>
      </c>
      <c r="E12" s="86">
        <f ca="1">SUM(C$9:C12)</f>
        <v>68</v>
      </c>
    </row>
    <row r="13" spans="1:5" x14ac:dyDescent="0.35">
      <c r="A13" s="83"/>
      <c r="B13" s="93">
        <f ca="1"/>
        <v>6</v>
      </c>
      <c r="C13" s="85">
        <f ca="1"/>
        <v>17</v>
      </c>
      <c r="D13" s="87">
        <f ca="1">SUM(B$9:B13)</f>
        <v>34</v>
      </c>
      <c r="E13" s="86">
        <f ca="1">SUM(C$9:C13)</f>
        <v>85</v>
      </c>
    </row>
    <row r="14" spans="1:5" x14ac:dyDescent="0.35">
      <c r="A14" s="83"/>
      <c r="B14" s="93">
        <f ca="1"/>
        <v>6</v>
      </c>
      <c r="C14" s="85">
        <f ca="1"/>
        <v>17</v>
      </c>
      <c r="D14" s="87">
        <f ca="1">SUM(B$9:B14)</f>
        <v>40</v>
      </c>
      <c r="E14" s="86">
        <f ca="1">SUM(C$9:C14)</f>
        <v>102</v>
      </c>
    </row>
    <row r="15" spans="1:5" x14ac:dyDescent="0.35">
      <c r="A15" s="83"/>
      <c r="B15" s="93">
        <f ca="1"/>
        <v>6</v>
      </c>
      <c r="C15" s="85">
        <f ca="1"/>
        <v>17</v>
      </c>
      <c r="D15" s="87">
        <f ca="1">SUM(B$9:B15)</f>
        <v>46</v>
      </c>
      <c r="E15" s="86">
        <f ca="1">SUM(C$9:C15)</f>
        <v>119</v>
      </c>
    </row>
    <row r="16" spans="1:5" x14ac:dyDescent="0.35">
      <c r="A16" s="83"/>
      <c r="B16" s="93">
        <f ca="1"/>
        <v>6</v>
      </c>
      <c r="C16" s="85">
        <f ca="1"/>
        <v>17</v>
      </c>
      <c r="D16" s="87">
        <f ca="1">SUM(B$9:B16)</f>
        <v>52</v>
      </c>
      <c r="E16" s="86">
        <f ca="1">SUM(C$9:C16)</f>
        <v>136</v>
      </c>
    </row>
    <row r="17" spans="1:5" x14ac:dyDescent="0.35">
      <c r="A17" s="83"/>
      <c r="B17" s="93">
        <f ca="1"/>
        <v>6</v>
      </c>
      <c r="C17" s="85">
        <f ca="1"/>
        <v>17</v>
      </c>
      <c r="D17" s="87">
        <f ca="1">SUM(B$9:B17)</f>
        <v>58</v>
      </c>
      <c r="E17" s="86">
        <f ca="1">SUM(C$9:C17)</f>
        <v>153</v>
      </c>
    </row>
    <row r="18" spans="1:5" x14ac:dyDescent="0.35">
      <c r="A18" s="83"/>
      <c r="B18" s="93">
        <f ca="1"/>
        <v>6</v>
      </c>
      <c r="C18" s="85">
        <f ca="1"/>
        <v>17</v>
      </c>
      <c r="D18" s="87">
        <f ca="1">SUM(B$9:B18)</f>
        <v>64</v>
      </c>
      <c r="E18" s="86">
        <f ca="1">SUM(C$9:C18)</f>
        <v>170</v>
      </c>
    </row>
    <row r="19" spans="1:5" x14ac:dyDescent="0.35">
      <c r="A19" s="83"/>
      <c r="B19" s="93">
        <f ca="1"/>
        <v>6</v>
      </c>
      <c r="C19" s="85">
        <f ca="1"/>
        <v>16</v>
      </c>
      <c r="D19" s="87">
        <f ca="1">SUM(B$9:B19)</f>
        <v>70</v>
      </c>
      <c r="E19" s="86">
        <f ca="1">SUM(C$9:C19)</f>
        <v>186</v>
      </c>
    </row>
    <row r="20" spans="1:5" x14ac:dyDescent="0.35">
      <c r="A20" s="83"/>
      <c r="B20" s="93">
        <f ca="1"/>
        <v>6</v>
      </c>
      <c r="C20" s="85">
        <f ca="1"/>
        <v>16</v>
      </c>
      <c r="D20" s="87">
        <f ca="1">SUM(B$9:B20)</f>
        <v>76</v>
      </c>
      <c r="E20" s="86">
        <f ca="1">SUM(C$9:C20)</f>
        <v>202</v>
      </c>
    </row>
    <row r="21" spans="1:5" x14ac:dyDescent="0.35">
      <c r="A21" s="83"/>
      <c r="B21" s="93">
        <f ca="1"/>
        <v>6</v>
      </c>
      <c r="C21" s="85">
        <f ca="1"/>
        <v>16</v>
      </c>
      <c r="D21" s="87">
        <f ca="1">SUM(B$9:B21)</f>
        <v>82</v>
      </c>
      <c r="E21" s="86">
        <f ca="1">SUM(C$9:C21)</f>
        <v>218</v>
      </c>
    </row>
    <row r="22" spans="1:5" x14ac:dyDescent="0.35">
      <c r="A22" s="83"/>
      <c r="B22" s="84">
        <f ca="1"/>
        <v>6</v>
      </c>
      <c r="C22" s="85">
        <f ca="1"/>
        <v>16</v>
      </c>
      <c r="D22" s="87">
        <f ca="1">SUM(B$9:B22)</f>
        <v>88</v>
      </c>
      <c r="E22" s="86">
        <f ca="1">SUM(C$9:C22)</f>
        <v>234</v>
      </c>
    </row>
    <row r="23" spans="1:5" x14ac:dyDescent="0.35">
      <c r="A23" s="83"/>
      <c r="B23" s="84">
        <f ca="1"/>
        <v>6</v>
      </c>
      <c r="C23" s="85">
        <f ca="1"/>
        <v>16</v>
      </c>
      <c r="D23" s="87">
        <f ca="1">SUM(B$9:B23)</f>
        <v>94</v>
      </c>
      <c r="E23" s="86">
        <f ca="1">SUM(C$9:C23)</f>
        <v>250</v>
      </c>
    </row>
    <row r="24" spans="1:5" x14ac:dyDescent="0.35">
      <c r="A24" s="83"/>
      <c r="B24" s="84">
        <f ca="1"/>
        <v>6</v>
      </c>
      <c r="C24" s="85">
        <f ca="1"/>
        <v>16</v>
      </c>
      <c r="D24" s="87">
        <f ca="1">SUM(B$9:B24)</f>
        <v>100</v>
      </c>
      <c r="E24" s="86">
        <f ca="1">SUM(C$9:C24)</f>
        <v>266</v>
      </c>
    </row>
    <row r="25" spans="1:5" x14ac:dyDescent="0.35">
      <c r="A25" s="83"/>
      <c r="B25" s="84">
        <f ca="1"/>
        <v>6</v>
      </c>
      <c r="C25" s="85">
        <f ca="1"/>
        <v>16</v>
      </c>
      <c r="D25" s="87">
        <f ca="1">SUM(B$9:B25)</f>
        <v>106</v>
      </c>
      <c r="E25" s="86">
        <f ca="1">SUM(C$9:C25)</f>
        <v>282</v>
      </c>
    </row>
    <row r="26" spans="1:5" x14ac:dyDescent="0.35">
      <c r="A26" s="83"/>
      <c r="B26" s="84">
        <f ca="1"/>
        <v>6</v>
      </c>
      <c r="C26" s="85">
        <f ca="1"/>
        <v>16</v>
      </c>
      <c r="D26" s="87">
        <f ca="1">SUM(B$9:B26)</f>
        <v>112</v>
      </c>
      <c r="E26" s="86">
        <f ca="1">SUM(C$9:C26)</f>
        <v>298</v>
      </c>
    </row>
    <row r="27" spans="1:5" x14ac:dyDescent="0.35">
      <c r="A27" s="83"/>
      <c r="B27" s="84">
        <f ca="1"/>
        <v>6</v>
      </c>
      <c r="C27" s="85">
        <f ca="1"/>
        <v>16</v>
      </c>
      <c r="D27" s="87">
        <f ca="1">SUM(B$9:B27)</f>
        <v>118</v>
      </c>
      <c r="E27" s="86">
        <f ca="1">SUM(C$9:C27)</f>
        <v>314</v>
      </c>
    </row>
    <row r="28" spans="1:5" x14ac:dyDescent="0.35">
      <c r="A28" s="83"/>
      <c r="B28" s="84">
        <f ca="1"/>
        <v>6</v>
      </c>
      <c r="C28" s="85">
        <f ca="1"/>
        <v>16</v>
      </c>
      <c r="D28" s="87">
        <f ca="1">SUM(B$9:B28)</f>
        <v>124</v>
      </c>
      <c r="E28" s="86">
        <f ca="1">SUM(C$9:C28)</f>
        <v>330</v>
      </c>
    </row>
    <row r="29" spans="1:5" x14ac:dyDescent="0.35">
      <c r="A29" s="83"/>
      <c r="B29" s="84">
        <f ca="1"/>
        <v>6</v>
      </c>
      <c r="C29" s="85">
        <f ca="1"/>
        <v>16</v>
      </c>
      <c r="D29" s="87">
        <f ca="1">SUM(B$9:B29)</f>
        <v>130</v>
      </c>
      <c r="E29" s="86">
        <f ca="1">SUM(C$9:C29)</f>
        <v>346</v>
      </c>
    </row>
    <row r="30" spans="1:5" x14ac:dyDescent="0.35">
      <c r="A30" s="83"/>
      <c r="B30" s="84">
        <f ca="1"/>
        <v>6</v>
      </c>
      <c r="C30" s="85">
        <f ca="1"/>
        <v>16</v>
      </c>
      <c r="D30" s="87">
        <f ca="1">SUM(B$9:B30)</f>
        <v>136</v>
      </c>
      <c r="E30" s="86">
        <f ca="1">SUM(C$9:C30)</f>
        <v>362</v>
      </c>
    </row>
    <row r="31" spans="1:5" x14ac:dyDescent="0.35">
      <c r="A31" s="83"/>
      <c r="B31" s="84">
        <f ca="1"/>
        <v>6</v>
      </c>
      <c r="C31" s="85">
        <f ca="1"/>
        <v>16</v>
      </c>
      <c r="D31" s="87">
        <f ca="1">SUM(B$9:B31)</f>
        <v>142</v>
      </c>
      <c r="E31" s="86">
        <f ca="1">SUM(C$9:C31)</f>
        <v>378</v>
      </c>
    </row>
    <row r="32" spans="1:5" x14ac:dyDescent="0.35">
      <c r="A32" s="83"/>
      <c r="B32" s="84"/>
      <c r="C32" s="85"/>
      <c r="D32" s="87"/>
      <c r="E32" s="86"/>
    </row>
    <row r="33" spans="1:5" x14ac:dyDescent="0.35">
      <c r="A33" s="83"/>
      <c r="B33" s="84"/>
      <c r="C33" s="85"/>
      <c r="D33" s="87"/>
      <c r="E33" s="86"/>
    </row>
    <row r="34" spans="1:5" x14ac:dyDescent="0.35">
      <c r="A34" s="83"/>
      <c r="B34" s="84"/>
      <c r="C34" s="85"/>
      <c r="D34" s="87"/>
      <c r="E34" s="86"/>
    </row>
    <row r="35" spans="1:5" x14ac:dyDescent="0.35">
      <c r="A35" s="83"/>
      <c r="B35" s="84"/>
      <c r="C35" s="85"/>
      <c r="D35" s="102"/>
      <c r="E35" s="103"/>
    </row>
    <row r="36" spans="1:5" x14ac:dyDescent="0.35">
      <c r="A36" s="83"/>
      <c r="B36" s="84"/>
      <c r="C36" s="85"/>
      <c r="D36" s="102"/>
      <c r="E36" s="103"/>
    </row>
    <row r="37" spans="1:5" x14ac:dyDescent="0.35">
      <c r="A37" s="83"/>
      <c r="B37" s="84"/>
      <c r="C37" s="85"/>
      <c r="D37" s="102"/>
      <c r="E37" s="103"/>
    </row>
    <row r="38" spans="1:5" x14ac:dyDescent="0.35">
      <c r="A38" s="83"/>
      <c r="B38" s="84"/>
      <c r="C38" s="85"/>
      <c r="D38" s="102"/>
      <c r="E38" s="103"/>
    </row>
    <row r="39" spans="1:5" x14ac:dyDescent="0.35">
      <c r="A39" s="83"/>
      <c r="B39" s="84"/>
      <c r="C39" s="85"/>
      <c r="D39" s="102"/>
      <c r="E39" s="103"/>
    </row>
    <row r="40" spans="1:5" x14ac:dyDescent="0.35">
      <c r="A40" s="83"/>
      <c r="B40" s="84"/>
      <c r="C40" s="85"/>
      <c r="D40" s="102"/>
      <c r="E40" s="103"/>
    </row>
    <row r="41" spans="1:5" x14ac:dyDescent="0.35">
      <c r="A41" s="83"/>
      <c r="B41" s="84"/>
      <c r="C41" s="85"/>
      <c r="D41" s="102"/>
      <c r="E41" s="103"/>
    </row>
    <row r="42" spans="1:5" x14ac:dyDescent="0.35">
      <c r="A42" s="83"/>
      <c r="B42" s="84"/>
      <c r="C42" s="85"/>
      <c r="D42" s="102"/>
      <c r="E42" s="103"/>
    </row>
    <row r="43" spans="1:5" x14ac:dyDescent="0.35">
      <c r="A43" s="83"/>
      <c r="B43" s="84"/>
      <c r="C43" s="85"/>
      <c r="D43" s="102"/>
      <c r="E43" s="103"/>
    </row>
    <row r="44" spans="1:5" x14ac:dyDescent="0.35">
      <c r="A44" s="83"/>
      <c r="B44" s="84"/>
      <c r="C44" s="85"/>
      <c r="D44" s="102"/>
      <c r="E44" s="103"/>
    </row>
    <row r="45" spans="1:5" x14ac:dyDescent="0.35">
      <c r="A45" s="83"/>
      <c r="B45" s="84"/>
      <c r="C45" s="85"/>
      <c r="D45" s="102"/>
      <c r="E45" s="103"/>
    </row>
    <row r="46" spans="1:5" x14ac:dyDescent="0.35">
      <c r="A46" s="83"/>
      <c r="B46" s="84"/>
      <c r="C46" s="85"/>
      <c r="D46" s="102"/>
      <c r="E46" s="103"/>
    </row>
    <row r="47" spans="1:5" x14ac:dyDescent="0.35">
      <c r="A47" s="83"/>
      <c r="B47" s="84"/>
      <c r="C47" s="85"/>
      <c r="D47" s="102"/>
      <c r="E47" s="103"/>
    </row>
    <row r="48" spans="1:5" x14ac:dyDescent="0.35">
      <c r="A48" s="83"/>
      <c r="B48" s="84"/>
      <c r="C48" s="85"/>
      <c r="D48" s="102"/>
      <c r="E48" s="103"/>
    </row>
    <row r="49" spans="1:5" x14ac:dyDescent="0.35">
      <c r="A49" s="83"/>
      <c r="B49" s="84"/>
      <c r="C49" s="85"/>
      <c r="D49" s="102"/>
      <c r="E49" s="103"/>
    </row>
    <row r="50" spans="1:5" x14ac:dyDescent="0.35">
      <c r="A50" s="83"/>
      <c r="B50" s="84"/>
      <c r="C50" s="85"/>
      <c r="D50" s="102"/>
      <c r="E50" s="103"/>
    </row>
    <row r="51" spans="1:5" x14ac:dyDescent="0.35">
      <c r="A51" s="83"/>
      <c r="B51" s="84"/>
      <c r="C51" s="85"/>
      <c r="D51" s="102"/>
      <c r="E51" s="103"/>
    </row>
    <row r="52" spans="1:5" x14ac:dyDescent="0.35">
      <c r="A52" s="83"/>
      <c r="B52" s="84"/>
      <c r="C52" s="85"/>
      <c r="D52" s="102"/>
      <c r="E52" s="103"/>
    </row>
    <row r="53" spans="1:5" x14ac:dyDescent="0.35">
      <c r="A53" s="83"/>
      <c r="B53" s="84"/>
      <c r="C53" s="85"/>
      <c r="D53" s="102"/>
      <c r="E53" s="103"/>
    </row>
    <row r="54" spans="1:5" x14ac:dyDescent="0.35">
      <c r="A54" s="83"/>
      <c r="B54" s="84"/>
      <c r="C54" s="85"/>
      <c r="D54" s="102"/>
      <c r="E54" s="103"/>
    </row>
    <row r="55" spans="1:5" x14ac:dyDescent="0.35">
      <c r="A55" s="83"/>
      <c r="B55" s="84"/>
      <c r="C55" s="85"/>
      <c r="D55" s="102"/>
      <c r="E55" s="103"/>
    </row>
    <row r="56" spans="1:5" x14ac:dyDescent="0.35">
      <c r="A56" s="83"/>
      <c r="B56" s="84"/>
      <c r="C56" s="85"/>
      <c r="D56" s="102"/>
      <c r="E56" s="103"/>
    </row>
    <row r="57" spans="1:5" x14ac:dyDescent="0.35">
      <c r="A57" s="83"/>
      <c r="B57" s="84"/>
      <c r="C57" s="85"/>
      <c r="D57" s="102"/>
      <c r="E57" s="103"/>
    </row>
    <row r="58" spans="1:5" x14ac:dyDescent="0.35">
      <c r="A58" s="83"/>
      <c r="B58" s="84"/>
      <c r="C58" s="85"/>
      <c r="D58" s="102"/>
      <c r="E58" s="103"/>
    </row>
    <row r="59" spans="1:5" x14ac:dyDescent="0.35">
      <c r="A59" s="83"/>
      <c r="B59" s="84"/>
      <c r="C59" s="85"/>
      <c r="D59" s="102"/>
      <c r="E59" s="103"/>
    </row>
    <row r="60" spans="1:5" x14ac:dyDescent="0.35">
      <c r="A60" s="83"/>
      <c r="B60" s="84"/>
      <c r="C60" s="85"/>
      <c r="D60" s="102"/>
      <c r="E60" s="103"/>
    </row>
    <row r="61" spans="1:5" x14ac:dyDescent="0.35">
      <c r="A61" s="83"/>
      <c r="B61" s="84"/>
      <c r="C61" s="85"/>
      <c r="D61" s="102"/>
      <c r="E61" s="103"/>
    </row>
    <row r="62" spans="1:5" x14ac:dyDescent="0.35">
      <c r="A62" s="83"/>
      <c r="B62" s="84"/>
      <c r="C62" s="85"/>
      <c r="D62" s="102"/>
      <c r="E62" s="103"/>
    </row>
    <row r="63" spans="1:5" x14ac:dyDescent="0.35">
      <c r="A63" s="83"/>
      <c r="B63" s="84"/>
      <c r="C63" s="85"/>
      <c r="D63" s="102"/>
      <c r="E63" s="103"/>
    </row>
    <row r="64" spans="1:5" x14ac:dyDescent="0.35">
      <c r="A64" s="83"/>
      <c r="B64" s="84"/>
      <c r="C64" s="85"/>
      <c r="D64" s="102"/>
      <c r="E64" s="103"/>
    </row>
    <row r="65" spans="1:5" x14ac:dyDescent="0.35">
      <c r="A65" s="83"/>
      <c r="B65" s="84"/>
      <c r="C65" s="85"/>
      <c r="D65" s="102"/>
      <c r="E65" s="103"/>
    </row>
    <row r="66" spans="1:5" x14ac:dyDescent="0.35">
      <c r="A66" s="83"/>
      <c r="B66" s="84"/>
      <c r="C66" s="85"/>
      <c r="D66" s="102"/>
      <c r="E66" s="103"/>
    </row>
    <row r="67" spans="1:5" x14ac:dyDescent="0.35">
      <c r="A67" s="83"/>
      <c r="B67" s="84"/>
      <c r="C67" s="85"/>
      <c r="D67" s="102"/>
      <c r="E67" s="103"/>
    </row>
    <row r="68" spans="1:5" x14ac:dyDescent="0.35">
      <c r="A68" s="83"/>
      <c r="B68" s="84"/>
      <c r="C68" s="85"/>
      <c r="D68" s="102"/>
      <c r="E68" s="103"/>
    </row>
    <row r="69" spans="1:5" x14ac:dyDescent="0.35">
      <c r="A69" s="83"/>
      <c r="B69" s="84"/>
      <c r="C69" s="85"/>
      <c r="D69" s="102"/>
      <c r="E69" s="103"/>
    </row>
    <row r="70" spans="1:5" x14ac:dyDescent="0.35">
      <c r="A70" s="83"/>
      <c r="B70" s="84"/>
      <c r="C70" s="85"/>
      <c r="D70" s="102"/>
      <c r="E70" s="103"/>
    </row>
    <row r="71" spans="1:5" x14ac:dyDescent="0.35">
      <c r="A71" s="83"/>
      <c r="B71" s="84"/>
      <c r="C71" s="85"/>
      <c r="D71" s="102"/>
      <c r="E71" s="103"/>
    </row>
    <row r="72" spans="1:5" x14ac:dyDescent="0.35">
      <c r="A72" s="83"/>
      <c r="B72" s="84"/>
      <c r="C72" s="85"/>
      <c r="D72" s="102"/>
      <c r="E72" s="103"/>
    </row>
    <row r="73" spans="1:5" x14ac:dyDescent="0.35">
      <c r="A73" s="83"/>
      <c r="B73" s="84"/>
      <c r="C73" s="85"/>
      <c r="D73" s="102"/>
      <c r="E73" s="103"/>
    </row>
    <row r="74" spans="1:5" x14ac:dyDescent="0.35">
      <c r="A74" s="83"/>
      <c r="B74" s="84"/>
      <c r="C74" s="85"/>
      <c r="D74" s="102"/>
      <c r="E74" s="103"/>
    </row>
    <row r="75" spans="1:5" x14ac:dyDescent="0.35">
      <c r="A75" s="83"/>
      <c r="B75" s="84"/>
      <c r="C75" s="85"/>
      <c r="D75" s="102"/>
      <c r="E75" s="103"/>
    </row>
    <row r="76" spans="1:5" x14ac:dyDescent="0.35">
      <c r="A76" s="83"/>
      <c r="B76" s="84"/>
      <c r="C76" s="85"/>
      <c r="D76" s="102"/>
      <c r="E76" s="103"/>
    </row>
    <row r="77" spans="1:5" x14ac:dyDescent="0.35">
      <c r="A77" s="83"/>
      <c r="B77" s="84"/>
      <c r="C77" s="85"/>
      <c r="D77" s="102"/>
      <c r="E77" s="103"/>
    </row>
    <row r="78" spans="1:5" x14ac:dyDescent="0.35">
      <c r="A78" s="83"/>
      <c r="B78" s="84"/>
      <c r="C78" s="85"/>
      <c r="D78" s="102"/>
      <c r="E78" s="103"/>
    </row>
    <row r="79" spans="1:5" x14ac:dyDescent="0.35">
      <c r="A79" s="83"/>
      <c r="B79" s="84"/>
      <c r="C79" s="85"/>
      <c r="D79" s="102"/>
      <c r="E79" s="103"/>
    </row>
    <row r="80" spans="1:5" x14ac:dyDescent="0.35">
      <c r="A80" s="83"/>
      <c r="B80" s="84"/>
      <c r="C80" s="85"/>
      <c r="D80" s="102"/>
      <c r="E80" s="103"/>
    </row>
    <row r="81" spans="1:5" x14ac:dyDescent="0.35">
      <c r="A81" s="83"/>
      <c r="B81" s="84"/>
      <c r="C81" s="85"/>
      <c r="D81" s="102"/>
      <c r="E81" s="103"/>
    </row>
    <row r="82" spans="1:5" x14ac:dyDescent="0.35">
      <c r="A82" s="83"/>
      <c r="B82" s="84"/>
      <c r="C82" s="85"/>
      <c r="D82" s="102"/>
      <c r="E82" s="103"/>
    </row>
    <row r="83" spans="1:5" x14ac:dyDescent="0.35">
      <c r="A83" s="83"/>
      <c r="B83" s="84"/>
      <c r="C83" s="85"/>
      <c r="D83" s="102"/>
      <c r="E83" s="103"/>
    </row>
    <row r="84" spans="1:5" x14ac:dyDescent="0.35">
      <c r="A84" s="83"/>
      <c r="B84" s="84"/>
      <c r="C84" s="85"/>
      <c r="D84" s="102"/>
      <c r="E84" s="103"/>
    </row>
    <row r="85" spans="1:5" x14ac:dyDescent="0.35">
      <c r="A85" s="83"/>
      <c r="B85" s="84"/>
      <c r="C85" s="85"/>
      <c r="D85" s="102"/>
      <c r="E85" s="103"/>
    </row>
    <row r="86" spans="1:5" x14ac:dyDescent="0.35">
      <c r="A86" s="83"/>
      <c r="B86" s="84"/>
      <c r="C86" s="85"/>
      <c r="D86" s="102"/>
      <c r="E86" s="103"/>
    </row>
    <row r="87" spans="1:5" x14ac:dyDescent="0.35">
      <c r="A87" s="83"/>
      <c r="B87" s="84"/>
      <c r="C87" s="85"/>
      <c r="D87" s="102"/>
      <c r="E87" s="103"/>
    </row>
    <row r="88" spans="1:5" x14ac:dyDescent="0.35">
      <c r="A88" s="83"/>
      <c r="B88" s="84"/>
      <c r="C88" s="85"/>
      <c r="D88" s="102"/>
      <c r="E88" s="103"/>
    </row>
    <row r="89" spans="1:5" x14ac:dyDescent="0.35">
      <c r="A89" s="83"/>
      <c r="B89" s="84"/>
      <c r="C89" s="85"/>
      <c r="D89" s="102"/>
      <c r="E89" s="103"/>
    </row>
    <row r="90" spans="1:5" x14ac:dyDescent="0.35">
      <c r="A90" s="83"/>
      <c r="B90" s="84"/>
      <c r="C90" s="85"/>
      <c r="D90" s="102"/>
      <c r="E90" s="103"/>
    </row>
    <row r="91" spans="1:5" x14ac:dyDescent="0.35">
      <c r="A91" s="83"/>
      <c r="B91" s="84"/>
      <c r="C91" s="85"/>
      <c r="D91" s="102"/>
      <c r="E91" s="103"/>
    </row>
    <row r="92" spans="1:5" x14ac:dyDescent="0.35">
      <c r="A92" s="83"/>
      <c r="B92" s="84"/>
      <c r="C92" s="85"/>
      <c r="D92" s="102"/>
      <c r="E92" s="103"/>
    </row>
    <row r="93" spans="1:5" x14ac:dyDescent="0.35">
      <c r="A93" s="83"/>
      <c r="B93" s="84"/>
      <c r="C93" s="85"/>
      <c r="D93" s="102"/>
      <c r="E93" s="103"/>
    </row>
    <row r="94" spans="1:5" x14ac:dyDescent="0.35">
      <c r="A94" s="83"/>
      <c r="B94" s="84"/>
      <c r="C94" s="85"/>
      <c r="D94" s="102"/>
      <c r="E94" s="103"/>
    </row>
    <row r="95" spans="1:5" x14ac:dyDescent="0.35">
      <c r="A95" s="83"/>
      <c r="B95" s="84"/>
      <c r="C95" s="85"/>
      <c r="D95" s="102"/>
      <c r="E95" s="103"/>
    </row>
    <row r="96" spans="1:5" x14ac:dyDescent="0.35">
      <c r="A96" s="83"/>
      <c r="B96" s="84"/>
      <c r="C96" s="85"/>
      <c r="D96" s="102"/>
      <c r="E96" s="103"/>
    </row>
    <row r="97" spans="1:5" x14ac:dyDescent="0.35">
      <c r="A97" s="83"/>
      <c r="B97" s="84"/>
      <c r="C97" s="85"/>
      <c r="D97" s="102"/>
      <c r="E97" s="103"/>
    </row>
    <row r="98" spans="1:5" x14ac:dyDescent="0.35">
      <c r="A98" s="83"/>
      <c r="B98" s="84"/>
      <c r="C98" s="85"/>
      <c r="D98" s="102"/>
      <c r="E98" s="103"/>
    </row>
    <row r="99" spans="1:5" x14ac:dyDescent="0.35">
      <c r="A99" s="83"/>
      <c r="B99" s="84"/>
      <c r="C99" s="85"/>
      <c r="D99" s="102"/>
      <c r="E99" s="103"/>
    </row>
    <row r="100" spans="1:5" x14ac:dyDescent="0.35">
      <c r="A100" s="83"/>
      <c r="B100" s="84"/>
      <c r="C100" s="85"/>
      <c r="D100" s="102"/>
      <c r="E100" s="103"/>
    </row>
    <row r="101" spans="1:5" x14ac:dyDescent="0.35">
      <c r="A101" s="83"/>
      <c r="B101" s="84"/>
      <c r="C101" s="85"/>
      <c r="D101" s="102"/>
      <c r="E101" s="103"/>
    </row>
    <row r="102" spans="1:5" x14ac:dyDescent="0.35">
      <c r="A102" s="83"/>
      <c r="B102" s="84"/>
      <c r="C102" s="85"/>
      <c r="D102" s="102"/>
      <c r="E102" s="103"/>
    </row>
    <row r="103" spans="1:5" x14ac:dyDescent="0.35">
      <c r="A103" s="83"/>
      <c r="B103" s="84"/>
      <c r="C103" s="85"/>
      <c r="D103" s="102"/>
      <c r="E103" s="103"/>
    </row>
    <row r="104" spans="1:5" x14ac:dyDescent="0.35">
      <c r="A104" s="83"/>
      <c r="B104" s="84"/>
      <c r="C104" s="85"/>
      <c r="D104" s="102"/>
      <c r="E104" s="103"/>
    </row>
    <row r="105" spans="1:5" x14ac:dyDescent="0.35">
      <c r="A105" s="83"/>
      <c r="B105" s="84"/>
      <c r="C105" s="85"/>
      <c r="D105" s="102"/>
      <c r="E105" s="103"/>
    </row>
    <row r="106" spans="1:5" x14ac:dyDescent="0.35">
      <c r="A106" s="83"/>
      <c r="B106" s="84"/>
      <c r="C106" s="85"/>
      <c r="D106" s="102"/>
      <c r="E106" s="103"/>
    </row>
    <row r="107" spans="1:5" x14ac:dyDescent="0.35">
      <c r="A107" s="83"/>
      <c r="B107" s="84"/>
      <c r="C107" s="85"/>
      <c r="D107" s="102"/>
      <c r="E107" s="103"/>
    </row>
    <row r="108" spans="1:5" x14ac:dyDescent="0.35">
      <c r="A108" s="83"/>
      <c r="B108" s="84"/>
      <c r="C108" s="85"/>
      <c r="D108" s="102"/>
      <c r="E108" s="103"/>
    </row>
    <row r="109" spans="1:5" x14ac:dyDescent="0.35">
      <c r="A109" s="83"/>
      <c r="B109" s="84"/>
      <c r="C109" s="85"/>
      <c r="D109" s="102"/>
      <c r="E109" s="103"/>
    </row>
    <row r="110" spans="1:5" x14ac:dyDescent="0.35">
      <c r="A110" s="83"/>
      <c r="B110" s="84"/>
      <c r="C110" s="85"/>
      <c r="D110" s="102"/>
      <c r="E110" s="103"/>
    </row>
    <row r="111" spans="1:5" x14ac:dyDescent="0.35">
      <c r="A111" s="83"/>
      <c r="B111" s="84"/>
      <c r="C111" s="85"/>
      <c r="D111" s="102"/>
      <c r="E111" s="103"/>
    </row>
    <row r="112" spans="1:5" x14ac:dyDescent="0.35">
      <c r="A112" s="83"/>
      <c r="B112" s="84"/>
      <c r="C112" s="85"/>
      <c r="D112" s="102"/>
      <c r="E112" s="103"/>
    </row>
    <row r="113" spans="1:5" x14ac:dyDescent="0.35">
      <c r="A113" s="83"/>
      <c r="B113" s="84"/>
      <c r="C113" s="85"/>
      <c r="D113" s="102"/>
      <c r="E113" s="103"/>
    </row>
    <row r="114" spans="1:5" x14ac:dyDescent="0.35">
      <c r="A114" s="83"/>
      <c r="B114" s="84"/>
      <c r="C114" s="85"/>
      <c r="D114" s="102"/>
      <c r="E114" s="103"/>
    </row>
    <row r="115" spans="1:5" x14ac:dyDescent="0.35">
      <c r="A115" s="83"/>
      <c r="B115" s="84"/>
      <c r="C115" s="85"/>
      <c r="D115" s="102"/>
      <c r="E115" s="103"/>
    </row>
    <row r="116" spans="1:5" x14ac:dyDescent="0.35">
      <c r="A116" s="83"/>
      <c r="B116" s="84"/>
      <c r="C116" s="85"/>
      <c r="D116" s="102"/>
      <c r="E116" s="103"/>
    </row>
    <row r="117" spans="1:5" x14ac:dyDescent="0.35">
      <c r="A117" s="83"/>
      <c r="B117" s="84"/>
      <c r="C117" s="85"/>
      <c r="D117" s="102"/>
      <c r="E117" s="103"/>
    </row>
    <row r="118" spans="1:5" x14ac:dyDescent="0.35">
      <c r="A118" s="83"/>
      <c r="B118" s="84"/>
      <c r="C118" s="85"/>
      <c r="D118" s="102"/>
      <c r="E118" s="103"/>
    </row>
    <row r="119" spans="1:5" x14ac:dyDescent="0.35">
      <c r="A119" s="83"/>
      <c r="B119" s="84"/>
      <c r="C119" s="85"/>
      <c r="D119" s="102"/>
      <c r="E119" s="103"/>
    </row>
    <row r="120" spans="1:5" x14ac:dyDescent="0.35">
      <c r="A120" s="83"/>
      <c r="B120" s="84"/>
      <c r="C120" s="85"/>
      <c r="D120" s="102"/>
      <c r="E120" s="103"/>
    </row>
    <row r="121" spans="1:5" x14ac:dyDescent="0.35">
      <c r="A121" s="83"/>
      <c r="B121" s="84"/>
      <c r="C121" s="85"/>
      <c r="D121" s="102"/>
      <c r="E121" s="103"/>
    </row>
    <row r="122" spans="1:5" x14ac:dyDescent="0.35">
      <c r="A122" s="83"/>
      <c r="B122" s="84"/>
      <c r="C122" s="85"/>
      <c r="D122" s="102"/>
      <c r="E122" s="103"/>
    </row>
    <row r="123" spans="1:5" x14ac:dyDescent="0.35">
      <c r="A123" s="83"/>
      <c r="B123" s="84"/>
      <c r="C123" s="85"/>
      <c r="D123" s="102"/>
      <c r="E123" s="103"/>
    </row>
    <row r="124" spans="1:5" x14ac:dyDescent="0.35">
      <c r="A124" s="83"/>
      <c r="B124" s="84"/>
      <c r="C124" s="85"/>
      <c r="D124" s="102"/>
      <c r="E124" s="103"/>
    </row>
    <row r="125" spans="1:5" x14ac:dyDescent="0.35">
      <c r="A125" s="83"/>
      <c r="B125" s="84"/>
      <c r="C125" s="85"/>
      <c r="D125" s="102"/>
      <c r="E125" s="103"/>
    </row>
    <row r="126" spans="1:5" x14ac:dyDescent="0.35">
      <c r="A126" s="83"/>
      <c r="B126" s="84"/>
      <c r="C126" s="85"/>
      <c r="D126" s="102"/>
      <c r="E126" s="103"/>
    </row>
    <row r="127" spans="1:5" x14ac:dyDescent="0.35">
      <c r="A127" s="83"/>
      <c r="B127" s="84"/>
      <c r="C127" s="85"/>
      <c r="D127" s="102"/>
      <c r="E127" s="103"/>
    </row>
    <row r="128" spans="1:5" x14ac:dyDescent="0.35">
      <c r="A128" s="83"/>
      <c r="B128" s="84"/>
      <c r="C128" s="85"/>
      <c r="D128" s="102"/>
      <c r="E128" s="103"/>
    </row>
    <row r="129" spans="1:5" x14ac:dyDescent="0.35">
      <c r="A129" s="83"/>
      <c r="B129" s="84"/>
      <c r="C129" s="85"/>
      <c r="D129" s="102"/>
      <c r="E129" s="103"/>
    </row>
    <row r="130" spans="1:5" x14ac:dyDescent="0.35">
      <c r="A130" s="83"/>
      <c r="B130" s="84"/>
      <c r="C130" s="85"/>
      <c r="D130" s="102"/>
      <c r="E130" s="103"/>
    </row>
    <row r="131" spans="1:5" x14ac:dyDescent="0.35">
      <c r="A131" s="83"/>
      <c r="B131" s="84"/>
      <c r="C131" s="85"/>
      <c r="D131" s="102"/>
      <c r="E131" s="103"/>
    </row>
    <row r="132" spans="1:5" x14ac:dyDescent="0.35">
      <c r="A132" s="83"/>
      <c r="B132" s="84"/>
      <c r="C132" s="85"/>
      <c r="D132" s="102"/>
      <c r="E132" s="103"/>
    </row>
    <row r="133" spans="1:5" x14ac:dyDescent="0.35">
      <c r="A133" s="83"/>
      <c r="B133" s="84"/>
      <c r="C133" s="85"/>
      <c r="D133" s="102"/>
      <c r="E133" s="103"/>
    </row>
    <row r="134" spans="1:5" x14ac:dyDescent="0.35">
      <c r="A134" s="83"/>
      <c r="B134" s="84"/>
      <c r="C134" s="85"/>
      <c r="D134" s="102"/>
      <c r="E134" s="103"/>
    </row>
    <row r="135" spans="1:5" x14ac:dyDescent="0.35">
      <c r="A135" s="83"/>
      <c r="B135" s="84"/>
      <c r="C135" s="85"/>
      <c r="D135" s="102"/>
      <c r="E135" s="103"/>
    </row>
    <row r="136" spans="1:5" x14ac:dyDescent="0.35">
      <c r="A136" s="83"/>
      <c r="B136" s="84"/>
      <c r="C136" s="85"/>
      <c r="D136" s="102"/>
      <c r="E136" s="103"/>
    </row>
    <row r="137" spans="1:5" x14ac:dyDescent="0.35">
      <c r="A137" s="83"/>
      <c r="B137" s="84"/>
      <c r="C137" s="85"/>
      <c r="D137" s="102"/>
      <c r="E137" s="103"/>
    </row>
    <row r="138" spans="1:5" x14ac:dyDescent="0.35">
      <c r="A138" s="83"/>
      <c r="B138" s="84"/>
      <c r="C138" s="85"/>
      <c r="D138" s="102"/>
      <c r="E138" s="103"/>
    </row>
    <row r="139" spans="1:5" x14ac:dyDescent="0.35">
      <c r="A139" s="83"/>
      <c r="B139" s="84"/>
      <c r="C139" s="85"/>
      <c r="D139" s="102"/>
      <c r="E139" s="103"/>
    </row>
    <row r="140" spans="1:5" x14ac:dyDescent="0.35">
      <c r="A140" s="83"/>
      <c r="B140" s="84"/>
      <c r="C140" s="85"/>
      <c r="D140" s="102"/>
      <c r="E140" s="103"/>
    </row>
    <row r="141" spans="1:5" x14ac:dyDescent="0.35">
      <c r="A141" s="83"/>
      <c r="B141" s="84"/>
      <c r="C141" s="85"/>
      <c r="D141" s="102"/>
      <c r="E141" s="103"/>
    </row>
    <row r="142" spans="1:5" x14ac:dyDescent="0.35">
      <c r="A142" s="83"/>
      <c r="B142" s="84"/>
      <c r="C142" s="85"/>
      <c r="D142" s="102"/>
      <c r="E142" s="103"/>
    </row>
    <row r="143" spans="1:5" x14ac:dyDescent="0.35">
      <c r="A143" s="83"/>
      <c r="B143" s="84"/>
      <c r="C143" s="85"/>
      <c r="D143" s="102"/>
      <c r="E143" s="103"/>
    </row>
    <row r="144" spans="1:5" x14ac:dyDescent="0.35">
      <c r="A144" s="83"/>
      <c r="B144" s="84"/>
      <c r="C144" s="85"/>
      <c r="D144" s="102"/>
      <c r="E144" s="103"/>
    </row>
    <row r="145" spans="1:5" x14ac:dyDescent="0.35">
      <c r="A145" s="83"/>
      <c r="B145" s="84"/>
      <c r="C145" s="85"/>
      <c r="D145" s="102"/>
      <c r="E145" s="103"/>
    </row>
    <row r="146" spans="1:5" x14ac:dyDescent="0.35">
      <c r="A146" s="83"/>
      <c r="B146" s="84"/>
      <c r="C146" s="85"/>
      <c r="D146" s="102"/>
      <c r="E146" s="103"/>
    </row>
    <row r="147" spans="1:5" x14ac:dyDescent="0.35">
      <c r="A147" s="83"/>
      <c r="B147" s="84"/>
      <c r="C147" s="85"/>
      <c r="D147" s="102"/>
      <c r="E147" s="103"/>
    </row>
    <row r="148" spans="1:5" x14ac:dyDescent="0.35">
      <c r="A148" s="83"/>
      <c r="B148" s="84"/>
      <c r="C148" s="85"/>
      <c r="D148" s="102"/>
      <c r="E148" s="103"/>
    </row>
    <row r="149" spans="1:5" x14ac:dyDescent="0.35">
      <c r="A149" s="83"/>
      <c r="B149" s="84"/>
      <c r="C149" s="85"/>
      <c r="D149" s="102"/>
      <c r="E149" s="103"/>
    </row>
    <row r="150" spans="1:5" x14ac:dyDescent="0.35">
      <c r="A150" s="83"/>
      <c r="B150" s="84"/>
      <c r="C150" s="85"/>
      <c r="D150" s="102"/>
      <c r="E150" s="103"/>
    </row>
    <row r="151" spans="1:5" x14ac:dyDescent="0.35">
      <c r="A151" s="83"/>
      <c r="B151" s="84"/>
      <c r="C151" s="85"/>
      <c r="D151" s="102"/>
      <c r="E151" s="103"/>
    </row>
    <row r="152" spans="1:5" x14ac:dyDescent="0.35">
      <c r="A152" s="83"/>
      <c r="B152" s="84"/>
      <c r="C152" s="85"/>
      <c r="D152" s="102"/>
      <c r="E152" s="103"/>
    </row>
    <row r="153" spans="1:5" x14ac:dyDescent="0.35">
      <c r="A153" s="83"/>
      <c r="B153" s="84"/>
      <c r="C153" s="85"/>
      <c r="D153" s="102"/>
      <c r="E153" s="103"/>
    </row>
    <row r="154" spans="1:5" x14ac:dyDescent="0.35">
      <c r="A154" s="83"/>
      <c r="B154" s="84"/>
      <c r="C154" s="85"/>
      <c r="D154" s="102"/>
      <c r="E154" s="103"/>
    </row>
    <row r="155" spans="1:5" x14ac:dyDescent="0.35">
      <c r="A155" s="83"/>
      <c r="B155" s="84"/>
      <c r="C155" s="85"/>
      <c r="D155" s="102"/>
      <c r="E155" s="103"/>
    </row>
    <row r="156" spans="1:5" x14ac:dyDescent="0.35">
      <c r="A156" s="83"/>
      <c r="B156" s="84"/>
      <c r="C156" s="85"/>
      <c r="D156" s="102"/>
      <c r="E156" s="103"/>
    </row>
    <row r="157" spans="1:5" x14ac:dyDescent="0.35">
      <c r="A157" s="83"/>
      <c r="B157" s="84"/>
      <c r="C157" s="85"/>
      <c r="D157" s="102"/>
      <c r="E157" s="103"/>
    </row>
    <row r="158" spans="1:5" x14ac:dyDescent="0.35">
      <c r="A158" s="83"/>
      <c r="B158" s="84"/>
      <c r="C158" s="85"/>
      <c r="D158" s="102"/>
      <c r="E158" s="103"/>
    </row>
    <row r="159" spans="1:5" x14ac:dyDescent="0.35">
      <c r="A159" s="83"/>
      <c r="B159" s="84"/>
      <c r="C159" s="85"/>
      <c r="D159" s="102"/>
      <c r="E159" s="103"/>
    </row>
    <row r="160" spans="1:5" x14ac:dyDescent="0.35">
      <c r="A160" s="83"/>
      <c r="B160" s="84"/>
      <c r="C160" s="85"/>
      <c r="D160" s="102"/>
      <c r="E160" s="103"/>
    </row>
    <row r="161" spans="1:5" x14ac:dyDescent="0.35">
      <c r="A161" s="83"/>
      <c r="B161" s="84"/>
      <c r="C161" s="85"/>
      <c r="D161" s="102"/>
      <c r="E161" s="103"/>
    </row>
    <row r="162" spans="1:5" x14ac:dyDescent="0.35">
      <c r="A162" s="83"/>
      <c r="B162" s="84"/>
      <c r="C162" s="85"/>
      <c r="D162" s="102"/>
      <c r="E162" s="103"/>
    </row>
    <row r="163" spans="1:5" x14ac:dyDescent="0.35">
      <c r="A163" s="83"/>
      <c r="B163" s="84"/>
      <c r="C163" s="85"/>
      <c r="D163" s="102"/>
      <c r="E163" s="103"/>
    </row>
    <row r="164" spans="1:5" x14ac:dyDescent="0.35">
      <c r="A164" s="83"/>
      <c r="B164" s="84"/>
      <c r="C164" s="85"/>
      <c r="D164" s="102"/>
      <c r="E164" s="103"/>
    </row>
    <row r="165" spans="1:5" x14ac:dyDescent="0.35">
      <c r="A165" s="83"/>
      <c r="B165" s="84"/>
      <c r="C165" s="85"/>
      <c r="D165" s="102"/>
      <c r="E165" s="103"/>
    </row>
    <row r="166" spans="1:5" x14ac:dyDescent="0.35">
      <c r="A166" s="83"/>
      <c r="B166" s="84"/>
      <c r="C166" s="85"/>
      <c r="D166" s="102"/>
      <c r="E166" s="103"/>
    </row>
    <row r="167" spans="1:5" x14ac:dyDescent="0.35">
      <c r="A167" s="83"/>
      <c r="B167" s="84"/>
      <c r="C167" s="85"/>
      <c r="D167" s="102"/>
      <c r="E167" s="103"/>
    </row>
    <row r="168" spans="1:5" x14ac:dyDescent="0.35">
      <c r="A168" s="83"/>
      <c r="B168" s="84"/>
      <c r="C168" s="85"/>
      <c r="D168" s="102"/>
      <c r="E168" s="103"/>
    </row>
    <row r="169" spans="1:5" x14ac:dyDescent="0.35">
      <c r="A169" s="83"/>
      <c r="B169" s="84"/>
      <c r="C169" s="85"/>
      <c r="D169" s="102"/>
      <c r="E169" s="103"/>
    </row>
    <row r="170" spans="1:5" x14ac:dyDescent="0.35">
      <c r="A170" s="83"/>
      <c r="B170" s="84"/>
      <c r="C170" s="85"/>
      <c r="D170" s="102"/>
      <c r="E170" s="103"/>
    </row>
    <row r="171" spans="1:5" x14ac:dyDescent="0.35">
      <c r="A171" s="83"/>
      <c r="B171" s="84"/>
      <c r="C171" s="85"/>
      <c r="D171" s="102"/>
      <c r="E171" s="103"/>
    </row>
    <row r="172" spans="1:5" x14ac:dyDescent="0.35">
      <c r="A172" s="83"/>
      <c r="B172" s="84"/>
      <c r="C172" s="85"/>
      <c r="D172" s="102"/>
      <c r="E172" s="103"/>
    </row>
    <row r="173" spans="1:5" x14ac:dyDescent="0.35">
      <c r="A173" s="83"/>
      <c r="B173" s="84"/>
      <c r="C173" s="85"/>
      <c r="D173" s="102"/>
      <c r="E173" s="103"/>
    </row>
    <row r="174" spans="1:5" x14ac:dyDescent="0.35">
      <c r="A174" s="83"/>
      <c r="B174" s="84"/>
      <c r="C174" s="85"/>
      <c r="D174" s="102"/>
      <c r="E174" s="103"/>
    </row>
    <row r="175" spans="1:5" x14ac:dyDescent="0.35">
      <c r="A175" s="83"/>
      <c r="B175" s="84"/>
      <c r="C175" s="85"/>
      <c r="D175" s="102"/>
      <c r="E175" s="103"/>
    </row>
    <row r="176" spans="1:5" x14ac:dyDescent="0.35">
      <c r="A176" s="83"/>
      <c r="B176" s="84"/>
      <c r="C176" s="85"/>
      <c r="D176" s="102"/>
      <c r="E176" s="103"/>
    </row>
    <row r="177" spans="1:5" x14ac:dyDescent="0.35">
      <c r="A177" s="83"/>
      <c r="B177" s="84"/>
      <c r="C177" s="85"/>
      <c r="D177" s="102"/>
      <c r="E177" s="103"/>
    </row>
    <row r="178" spans="1:5" x14ac:dyDescent="0.35">
      <c r="A178" s="83"/>
      <c r="B178" s="84"/>
      <c r="C178" s="85"/>
      <c r="D178" s="102"/>
      <c r="E178" s="103"/>
    </row>
    <row r="179" spans="1:5" x14ac:dyDescent="0.35">
      <c r="A179" s="83"/>
      <c r="B179" s="84"/>
      <c r="C179" s="85"/>
      <c r="D179" s="102"/>
      <c r="E179" s="103"/>
    </row>
    <row r="180" spans="1:5" x14ac:dyDescent="0.35">
      <c r="A180" s="83"/>
      <c r="B180" s="84"/>
      <c r="C180" s="85"/>
      <c r="D180" s="102"/>
      <c r="E180" s="103"/>
    </row>
    <row r="181" spans="1:5" x14ac:dyDescent="0.35">
      <c r="A181" s="83"/>
      <c r="B181" s="84"/>
      <c r="C181" s="85"/>
      <c r="D181" s="102"/>
      <c r="E181" s="103"/>
    </row>
    <row r="182" spans="1:5" x14ac:dyDescent="0.35">
      <c r="A182" s="83"/>
      <c r="B182" s="84"/>
      <c r="C182" s="85"/>
      <c r="D182" s="102"/>
      <c r="E182" s="103"/>
    </row>
    <row r="183" spans="1:5" x14ac:dyDescent="0.35">
      <c r="A183" s="83"/>
      <c r="B183" s="84"/>
      <c r="C183" s="85"/>
      <c r="D183" s="102"/>
      <c r="E183" s="103"/>
    </row>
    <row r="184" spans="1:5" x14ac:dyDescent="0.35">
      <c r="A184" s="83"/>
      <c r="B184" s="84"/>
      <c r="C184" s="85"/>
      <c r="D184" s="102"/>
      <c r="E184" s="103"/>
    </row>
    <row r="185" spans="1:5" x14ac:dyDescent="0.35">
      <c r="A185" s="83"/>
      <c r="B185" s="84"/>
      <c r="C185" s="85"/>
      <c r="D185" s="102"/>
      <c r="E185" s="103"/>
    </row>
    <row r="186" spans="1:5" x14ac:dyDescent="0.35">
      <c r="A186" s="83"/>
      <c r="B186" s="84"/>
      <c r="C186" s="85"/>
      <c r="D186" s="102"/>
      <c r="E186" s="103"/>
    </row>
    <row r="187" spans="1:5" x14ac:dyDescent="0.35">
      <c r="A187" s="83"/>
      <c r="B187" s="84"/>
      <c r="C187" s="85"/>
      <c r="D187" s="102"/>
      <c r="E187" s="103"/>
    </row>
    <row r="188" spans="1:5" x14ac:dyDescent="0.35">
      <c r="A188" s="83"/>
      <c r="B188" s="84"/>
      <c r="C188" s="85"/>
      <c r="D188" s="102"/>
      <c r="E188" s="103"/>
    </row>
    <row r="189" spans="1:5" x14ac:dyDescent="0.35">
      <c r="A189" s="83"/>
      <c r="B189" s="84"/>
      <c r="C189" s="85"/>
      <c r="D189" s="102"/>
      <c r="E189" s="103"/>
    </row>
    <row r="190" spans="1:5" x14ac:dyDescent="0.35">
      <c r="A190" s="83"/>
      <c r="B190" s="84"/>
      <c r="C190" s="85"/>
      <c r="D190" s="102"/>
      <c r="E190" s="103"/>
    </row>
    <row r="191" spans="1:5" x14ac:dyDescent="0.35">
      <c r="A191" s="83"/>
      <c r="B191" s="84"/>
      <c r="C191" s="85"/>
      <c r="D191" s="102"/>
      <c r="E191" s="103"/>
    </row>
    <row r="192" spans="1:5" x14ac:dyDescent="0.35">
      <c r="A192" s="83"/>
      <c r="B192" s="84"/>
      <c r="C192" s="85"/>
      <c r="D192" s="102"/>
      <c r="E192" s="103"/>
    </row>
    <row r="193" spans="1:5" x14ac:dyDescent="0.35">
      <c r="A193" s="83"/>
      <c r="B193" s="84"/>
      <c r="C193" s="85"/>
      <c r="D193" s="102"/>
      <c r="E193" s="103"/>
    </row>
    <row r="194" spans="1:5" x14ac:dyDescent="0.35">
      <c r="A194" s="83"/>
      <c r="B194" s="84"/>
      <c r="C194" s="85"/>
      <c r="D194" s="102"/>
      <c r="E194" s="103"/>
    </row>
    <row r="195" spans="1:5" x14ac:dyDescent="0.35">
      <c r="A195" s="83"/>
      <c r="B195" s="84"/>
      <c r="C195" s="85"/>
      <c r="D195" s="102"/>
      <c r="E195" s="103"/>
    </row>
    <row r="196" spans="1:5" x14ac:dyDescent="0.35">
      <c r="A196" s="83"/>
      <c r="B196" s="84"/>
      <c r="C196" s="85"/>
      <c r="D196" s="102"/>
      <c r="E196" s="103"/>
    </row>
    <row r="197" spans="1:5" x14ac:dyDescent="0.35">
      <c r="A197" s="83"/>
      <c r="B197" s="84"/>
      <c r="C197" s="85"/>
      <c r="D197" s="102"/>
      <c r="E197" s="103"/>
    </row>
    <row r="198" spans="1:5" x14ac:dyDescent="0.35">
      <c r="A198" s="83"/>
      <c r="B198" s="84"/>
      <c r="C198" s="85"/>
      <c r="D198" s="102"/>
      <c r="E198" s="103"/>
    </row>
    <row r="199" spans="1:5" x14ac:dyDescent="0.35">
      <c r="A199" s="83"/>
      <c r="B199" s="84"/>
      <c r="C199" s="85"/>
      <c r="D199" s="102"/>
      <c r="E199" s="103"/>
    </row>
    <row r="200" spans="1:5" x14ac:dyDescent="0.35">
      <c r="A200" s="83"/>
      <c r="B200" s="84"/>
      <c r="C200" s="85"/>
      <c r="D200" s="102"/>
      <c r="E200" s="103"/>
    </row>
    <row r="201" spans="1:5" x14ac:dyDescent="0.35">
      <c r="A201" s="83"/>
      <c r="B201" s="84"/>
      <c r="C201" s="85"/>
      <c r="D201" s="102"/>
      <c r="E201" s="103"/>
    </row>
    <row r="202" spans="1:5" x14ac:dyDescent="0.35">
      <c r="A202" s="83"/>
      <c r="B202" s="84"/>
      <c r="C202" s="85"/>
      <c r="D202" s="102"/>
      <c r="E202" s="103"/>
    </row>
    <row r="203" spans="1:5" x14ac:dyDescent="0.35">
      <c r="A203" s="83"/>
      <c r="B203" s="84"/>
      <c r="C203" s="85"/>
      <c r="D203" s="102"/>
      <c r="E203" s="103"/>
    </row>
    <row r="204" spans="1:5" x14ac:dyDescent="0.35">
      <c r="A204" s="83"/>
      <c r="B204" s="84"/>
      <c r="C204" s="85"/>
      <c r="D204" s="102"/>
      <c r="E204" s="103"/>
    </row>
    <row r="205" spans="1:5" x14ac:dyDescent="0.35">
      <c r="A205" s="83"/>
      <c r="B205" s="84"/>
      <c r="C205" s="85"/>
      <c r="D205" s="102"/>
      <c r="E205" s="103"/>
    </row>
    <row r="206" spans="1:5" x14ac:dyDescent="0.35">
      <c r="A206" s="83"/>
      <c r="B206" s="84"/>
      <c r="C206" s="85"/>
      <c r="D206" s="102"/>
      <c r="E206" s="103"/>
    </row>
    <row r="207" spans="1:5" x14ac:dyDescent="0.35">
      <c r="A207" s="83"/>
      <c r="B207" s="84"/>
      <c r="C207" s="85"/>
      <c r="D207" s="102"/>
      <c r="E207" s="103"/>
    </row>
    <row r="208" spans="1:5" x14ac:dyDescent="0.35">
      <c r="A208" s="83"/>
      <c r="B208" s="84"/>
      <c r="C208" s="85"/>
      <c r="D208" s="102"/>
      <c r="E208" s="103"/>
    </row>
    <row r="209" spans="1:5" x14ac:dyDescent="0.35">
      <c r="A209" s="83"/>
      <c r="B209" s="84"/>
      <c r="C209" s="85"/>
      <c r="D209" s="102"/>
      <c r="E209" s="103"/>
    </row>
    <row r="210" spans="1:5" x14ac:dyDescent="0.35">
      <c r="A210" s="83"/>
      <c r="B210" s="84"/>
      <c r="C210" s="85"/>
      <c r="D210" s="102"/>
      <c r="E210" s="103"/>
    </row>
    <row r="211" spans="1:5" x14ac:dyDescent="0.35">
      <c r="A211" s="83"/>
      <c r="B211" s="84"/>
      <c r="C211" s="85"/>
      <c r="D211" s="102"/>
      <c r="E211" s="103"/>
    </row>
    <row r="212" spans="1:5" x14ac:dyDescent="0.35">
      <c r="A212" s="83"/>
      <c r="B212" s="84"/>
      <c r="C212" s="85"/>
      <c r="D212" s="102"/>
      <c r="E212" s="103"/>
    </row>
    <row r="213" spans="1:5" x14ac:dyDescent="0.35">
      <c r="A213" s="83"/>
      <c r="B213" s="84"/>
      <c r="C213" s="85"/>
      <c r="D213" s="102"/>
      <c r="E213" s="103"/>
    </row>
    <row r="214" spans="1:5" x14ac:dyDescent="0.35">
      <c r="A214" s="83"/>
      <c r="B214" s="84"/>
      <c r="C214" s="85"/>
      <c r="D214" s="102"/>
      <c r="E214" s="103"/>
    </row>
    <row r="215" spans="1:5" x14ac:dyDescent="0.35">
      <c r="A215" s="83"/>
      <c r="B215" s="84"/>
      <c r="C215" s="85"/>
      <c r="D215" s="102"/>
      <c r="E215" s="103"/>
    </row>
    <row r="216" spans="1:5" x14ac:dyDescent="0.35">
      <c r="A216" s="83"/>
      <c r="B216" s="84"/>
      <c r="C216" s="85"/>
      <c r="D216" s="102"/>
      <c r="E216" s="103"/>
    </row>
    <row r="217" spans="1:5" x14ac:dyDescent="0.35">
      <c r="A217" s="83"/>
      <c r="B217" s="84"/>
      <c r="C217" s="85"/>
      <c r="D217" s="102"/>
      <c r="E217" s="103"/>
    </row>
    <row r="218" spans="1:5" x14ac:dyDescent="0.35">
      <c r="A218" s="83"/>
      <c r="B218" s="84"/>
      <c r="C218" s="85"/>
      <c r="D218" s="102"/>
      <c r="E218" s="103"/>
    </row>
    <row r="219" spans="1:5" x14ac:dyDescent="0.35">
      <c r="A219" s="83"/>
      <c r="B219" s="84"/>
      <c r="C219" s="85"/>
      <c r="D219" s="102"/>
      <c r="E219" s="103"/>
    </row>
    <row r="220" spans="1:5" x14ac:dyDescent="0.35">
      <c r="A220" s="83"/>
      <c r="B220" s="84"/>
      <c r="C220" s="85"/>
      <c r="D220" s="102"/>
      <c r="E220" s="103"/>
    </row>
    <row r="221" spans="1:5" x14ac:dyDescent="0.35">
      <c r="A221" s="83"/>
      <c r="B221" s="84"/>
      <c r="C221" s="85"/>
      <c r="D221" s="102"/>
      <c r="E221" s="103"/>
    </row>
    <row r="222" spans="1:5" x14ac:dyDescent="0.35">
      <c r="A222" s="83"/>
      <c r="B222" s="84"/>
      <c r="C222" s="85"/>
      <c r="D222" s="102"/>
      <c r="E222" s="103"/>
    </row>
    <row r="223" spans="1:5" x14ac:dyDescent="0.35">
      <c r="A223" s="83"/>
      <c r="B223" s="84"/>
      <c r="C223" s="85"/>
      <c r="D223" s="102"/>
      <c r="E223" s="103"/>
    </row>
    <row r="224" spans="1:5" x14ac:dyDescent="0.35">
      <c r="A224" s="83"/>
      <c r="B224" s="84"/>
      <c r="C224" s="85"/>
      <c r="D224" s="102"/>
      <c r="E224" s="103"/>
    </row>
    <row r="225" spans="1:5" x14ac:dyDescent="0.35">
      <c r="A225" s="83"/>
      <c r="B225" s="84"/>
      <c r="C225" s="85"/>
      <c r="D225" s="102"/>
      <c r="E225" s="103"/>
    </row>
    <row r="226" spans="1:5" x14ac:dyDescent="0.35">
      <c r="A226" s="83"/>
      <c r="B226" s="84"/>
      <c r="C226" s="85"/>
      <c r="D226" s="102"/>
      <c r="E226" s="103"/>
    </row>
    <row r="227" spans="1:5" x14ac:dyDescent="0.35">
      <c r="A227" s="83"/>
      <c r="B227" s="84"/>
      <c r="C227" s="85"/>
      <c r="D227" s="102"/>
      <c r="E227" s="103"/>
    </row>
    <row r="228" spans="1:5" x14ac:dyDescent="0.35">
      <c r="A228" s="83"/>
      <c r="B228" s="84"/>
      <c r="C228" s="85"/>
      <c r="D228" s="102"/>
      <c r="E228" s="103"/>
    </row>
    <row r="229" spans="1:5" x14ac:dyDescent="0.35">
      <c r="A229" s="83"/>
      <c r="B229" s="84"/>
      <c r="C229" s="85"/>
      <c r="D229" s="102"/>
      <c r="E229" s="103"/>
    </row>
    <row r="230" spans="1:5" x14ac:dyDescent="0.35">
      <c r="A230" s="83"/>
      <c r="B230" s="84"/>
      <c r="C230" s="85"/>
      <c r="D230" s="102"/>
      <c r="E230" s="103"/>
    </row>
    <row r="231" spans="1:5" x14ac:dyDescent="0.35">
      <c r="A231" s="83"/>
      <c r="B231" s="84"/>
      <c r="C231" s="85"/>
      <c r="D231" s="102"/>
      <c r="E231" s="103"/>
    </row>
    <row r="232" spans="1:5" x14ac:dyDescent="0.35">
      <c r="A232" s="83"/>
      <c r="B232" s="84"/>
      <c r="C232" s="85"/>
      <c r="D232" s="102"/>
      <c r="E232" s="103"/>
    </row>
    <row r="233" spans="1:5" x14ac:dyDescent="0.35">
      <c r="A233" s="83"/>
      <c r="B233" s="84"/>
      <c r="C233" s="85"/>
      <c r="D233" s="102"/>
      <c r="E233" s="103"/>
    </row>
    <row r="234" spans="1:5" x14ac:dyDescent="0.35">
      <c r="A234" s="83"/>
      <c r="B234" s="84"/>
      <c r="C234" s="85"/>
      <c r="D234" s="102"/>
      <c r="E234" s="103"/>
    </row>
    <row r="235" spans="1:5" x14ac:dyDescent="0.35">
      <c r="A235" s="83"/>
      <c r="B235" s="84"/>
      <c r="C235" s="85"/>
      <c r="D235" s="102"/>
      <c r="E235" s="103"/>
    </row>
    <row r="236" spans="1:5" x14ac:dyDescent="0.35">
      <c r="A236" s="83"/>
      <c r="B236" s="84"/>
      <c r="C236" s="85"/>
      <c r="D236" s="102"/>
      <c r="E236" s="103"/>
    </row>
    <row r="237" spans="1:5" x14ac:dyDescent="0.35">
      <c r="A237" s="83"/>
      <c r="B237" s="84"/>
      <c r="C237" s="85"/>
      <c r="D237" s="102"/>
      <c r="E237" s="103"/>
    </row>
    <row r="238" spans="1:5" x14ac:dyDescent="0.35">
      <c r="A238" s="83"/>
      <c r="B238" s="84"/>
      <c r="C238" s="85"/>
      <c r="D238" s="102"/>
      <c r="E238" s="103"/>
    </row>
    <row r="239" spans="1:5" x14ac:dyDescent="0.35">
      <c r="A239" s="83"/>
      <c r="B239" s="84"/>
      <c r="C239" s="85"/>
      <c r="D239" s="102"/>
      <c r="E239" s="103"/>
    </row>
    <row r="240" spans="1:5" x14ac:dyDescent="0.35">
      <c r="A240" s="83"/>
      <c r="B240" s="84"/>
      <c r="C240" s="85"/>
      <c r="D240" s="102"/>
      <c r="E240" s="103"/>
    </row>
    <row r="241" spans="1:5" x14ac:dyDescent="0.35">
      <c r="A241" s="83"/>
      <c r="B241" s="84"/>
      <c r="C241" s="85"/>
      <c r="D241" s="102"/>
      <c r="E241" s="103"/>
    </row>
    <row r="242" spans="1:5" x14ac:dyDescent="0.35">
      <c r="A242" s="83"/>
      <c r="B242" s="84"/>
      <c r="C242" s="85"/>
      <c r="D242" s="102"/>
      <c r="E242" s="103"/>
    </row>
    <row r="243" spans="1:5" x14ac:dyDescent="0.35">
      <c r="A243" s="83"/>
      <c r="B243" s="84"/>
      <c r="C243" s="85"/>
      <c r="D243" s="102"/>
      <c r="E243" s="103"/>
    </row>
    <row r="244" spans="1:5" x14ac:dyDescent="0.35">
      <c r="A244" s="83"/>
      <c r="B244" s="84"/>
      <c r="C244" s="85"/>
      <c r="D244" s="102"/>
      <c r="E244" s="103"/>
    </row>
    <row r="245" spans="1:5" x14ac:dyDescent="0.35">
      <c r="A245" s="83"/>
      <c r="B245" s="84"/>
      <c r="C245" s="85"/>
      <c r="D245" s="102"/>
      <c r="E245" s="103"/>
    </row>
    <row r="246" spans="1:5" x14ac:dyDescent="0.35">
      <c r="A246" s="83"/>
      <c r="B246" s="84"/>
      <c r="C246" s="85"/>
      <c r="D246" s="102"/>
      <c r="E246" s="103"/>
    </row>
    <row r="247" spans="1:5" x14ac:dyDescent="0.35">
      <c r="A247" s="83"/>
      <c r="B247" s="84"/>
      <c r="C247" s="85"/>
      <c r="D247" s="102"/>
      <c r="E247" s="103"/>
    </row>
    <row r="248" spans="1:5" x14ac:dyDescent="0.35">
      <c r="A248" s="83"/>
      <c r="B248" s="84"/>
      <c r="C248" s="85"/>
      <c r="D248" s="102"/>
      <c r="E248" s="103"/>
    </row>
    <row r="249" spans="1:5" x14ac:dyDescent="0.35">
      <c r="A249" s="83"/>
      <c r="B249" s="84"/>
      <c r="C249" s="85"/>
      <c r="D249" s="102"/>
      <c r="E249" s="103"/>
    </row>
    <row r="250" spans="1:5" x14ac:dyDescent="0.35">
      <c r="A250" s="83"/>
      <c r="B250" s="84"/>
      <c r="C250" s="85"/>
      <c r="D250" s="102"/>
      <c r="E250" s="103"/>
    </row>
    <row r="251" spans="1:5" x14ac:dyDescent="0.35">
      <c r="A251" s="83"/>
      <c r="B251" s="84"/>
      <c r="C251" s="85"/>
      <c r="D251" s="102"/>
      <c r="E251" s="103"/>
    </row>
    <row r="252" spans="1:5" x14ac:dyDescent="0.35">
      <c r="A252" s="83"/>
      <c r="B252" s="84"/>
      <c r="C252" s="85"/>
      <c r="D252" s="102"/>
      <c r="E252" s="103"/>
    </row>
    <row r="253" spans="1:5" x14ac:dyDescent="0.35">
      <c r="A253" s="83"/>
      <c r="B253" s="84"/>
      <c r="C253" s="85"/>
      <c r="D253" s="102"/>
      <c r="E253" s="103"/>
    </row>
    <row r="254" spans="1:5" x14ac:dyDescent="0.35">
      <c r="A254" s="83"/>
      <c r="B254" s="84"/>
      <c r="C254" s="85"/>
      <c r="D254" s="102"/>
      <c r="E254" s="103"/>
    </row>
    <row r="255" spans="1:5" x14ac:dyDescent="0.35">
      <c r="A255" s="83"/>
      <c r="B255" s="84"/>
      <c r="C255" s="85"/>
      <c r="D255" s="102"/>
      <c r="E255" s="103"/>
    </row>
    <row r="256" spans="1:5" x14ac:dyDescent="0.35">
      <c r="A256" s="83"/>
      <c r="B256" s="84"/>
      <c r="C256" s="85"/>
      <c r="D256" s="102"/>
      <c r="E256" s="103"/>
    </row>
    <row r="257" spans="1:5" x14ac:dyDescent="0.35">
      <c r="A257" s="83"/>
      <c r="B257" s="84"/>
      <c r="C257" s="85"/>
      <c r="D257" s="102"/>
      <c r="E257" s="103"/>
    </row>
    <row r="258" spans="1:5" x14ac:dyDescent="0.35">
      <c r="A258" s="83"/>
      <c r="B258" s="84"/>
      <c r="C258" s="85"/>
      <c r="D258" s="102"/>
      <c r="E258" s="103"/>
    </row>
    <row r="259" spans="1:5" x14ac:dyDescent="0.35">
      <c r="A259" s="83"/>
      <c r="B259" s="84"/>
      <c r="C259" s="85"/>
      <c r="D259" s="102"/>
      <c r="E259" s="103"/>
    </row>
    <row r="260" spans="1:5" x14ac:dyDescent="0.35">
      <c r="A260" s="83"/>
      <c r="B260" s="84"/>
      <c r="C260" s="85"/>
      <c r="D260" s="102"/>
      <c r="E260" s="103"/>
    </row>
    <row r="261" spans="1:5" x14ac:dyDescent="0.35">
      <c r="A261" s="83"/>
      <c r="B261" s="84"/>
      <c r="C261" s="85"/>
      <c r="D261" s="102"/>
      <c r="E261" s="103"/>
    </row>
    <row r="262" spans="1:5" x14ac:dyDescent="0.35">
      <c r="A262" s="83"/>
      <c r="B262" s="84"/>
      <c r="C262" s="85"/>
      <c r="D262" s="102"/>
      <c r="E262" s="103"/>
    </row>
    <row r="263" spans="1:5" x14ac:dyDescent="0.35">
      <c r="A263" s="83"/>
      <c r="B263" s="84"/>
      <c r="C263" s="85"/>
      <c r="D263" s="102"/>
      <c r="E263" s="103"/>
    </row>
    <row r="264" spans="1:5" x14ac:dyDescent="0.35">
      <c r="A264" s="83"/>
      <c r="B264" s="84"/>
      <c r="C264" s="85"/>
      <c r="D264" s="102"/>
      <c r="E264" s="103"/>
    </row>
    <row r="265" spans="1:5" x14ac:dyDescent="0.35">
      <c r="A265" s="83"/>
      <c r="B265" s="84"/>
      <c r="C265" s="85"/>
      <c r="D265" s="102"/>
      <c r="E265" s="103"/>
    </row>
    <row r="266" spans="1:5" x14ac:dyDescent="0.35">
      <c r="A266" s="83"/>
      <c r="B266" s="84"/>
      <c r="C266" s="85"/>
      <c r="D266" s="102"/>
      <c r="E266" s="103"/>
    </row>
    <row r="267" spans="1:5" x14ac:dyDescent="0.35">
      <c r="A267" s="83"/>
      <c r="B267" s="84"/>
      <c r="C267" s="85"/>
      <c r="D267" s="102"/>
      <c r="E267" s="103"/>
    </row>
    <row r="268" spans="1:5" x14ac:dyDescent="0.35">
      <c r="A268" s="83"/>
      <c r="B268" s="84"/>
      <c r="C268" s="85"/>
      <c r="D268" s="102"/>
      <c r="E268" s="103"/>
    </row>
    <row r="269" spans="1:5" x14ac:dyDescent="0.35">
      <c r="A269" s="83"/>
      <c r="B269" s="84"/>
      <c r="C269" s="85"/>
      <c r="D269" s="102"/>
      <c r="E269" s="103"/>
    </row>
    <row r="270" spans="1:5" x14ac:dyDescent="0.35">
      <c r="A270" s="83"/>
      <c r="B270" s="84"/>
      <c r="C270" s="85"/>
      <c r="D270" s="102"/>
      <c r="E270" s="103"/>
    </row>
    <row r="271" spans="1:5" x14ac:dyDescent="0.35">
      <c r="A271" s="83"/>
      <c r="B271" s="84"/>
      <c r="C271" s="85"/>
      <c r="D271" s="102"/>
      <c r="E271" s="103"/>
    </row>
    <row r="272" spans="1:5" x14ac:dyDescent="0.35">
      <c r="A272" s="83"/>
      <c r="B272" s="84"/>
      <c r="C272" s="85"/>
      <c r="D272" s="102"/>
      <c r="E272" s="103"/>
    </row>
    <row r="273" spans="1:5" x14ac:dyDescent="0.35">
      <c r="A273" s="83"/>
      <c r="B273" s="84"/>
      <c r="C273" s="85"/>
      <c r="D273" s="102"/>
      <c r="E273" s="103"/>
    </row>
    <row r="274" spans="1:5" x14ac:dyDescent="0.35">
      <c r="A274" s="83"/>
      <c r="B274" s="84"/>
      <c r="C274" s="85"/>
      <c r="D274" s="102"/>
      <c r="E274" s="103"/>
    </row>
    <row r="275" spans="1:5" x14ac:dyDescent="0.35">
      <c r="A275" s="83"/>
      <c r="B275" s="84"/>
      <c r="C275" s="85"/>
      <c r="D275" s="102"/>
      <c r="E275" s="103"/>
    </row>
    <row r="276" spans="1:5" x14ac:dyDescent="0.35">
      <c r="A276" s="83"/>
      <c r="B276" s="84"/>
      <c r="C276" s="85"/>
      <c r="D276" s="102"/>
      <c r="E276" s="103"/>
    </row>
    <row r="277" spans="1:5" x14ac:dyDescent="0.35">
      <c r="A277" s="83"/>
      <c r="B277" s="84"/>
      <c r="C277" s="85"/>
      <c r="D277" s="102"/>
      <c r="E277" s="103"/>
    </row>
    <row r="278" spans="1:5" x14ac:dyDescent="0.35">
      <c r="A278" s="83"/>
      <c r="B278" s="84"/>
      <c r="C278" s="85"/>
      <c r="D278" s="102"/>
      <c r="E278" s="103"/>
    </row>
    <row r="279" spans="1:5" x14ac:dyDescent="0.35">
      <c r="A279" s="83"/>
      <c r="B279" s="84"/>
      <c r="C279" s="85"/>
      <c r="D279" s="102"/>
      <c r="E279" s="103"/>
    </row>
    <row r="280" spans="1:5" x14ac:dyDescent="0.35">
      <c r="A280" s="83"/>
      <c r="B280" s="84"/>
      <c r="C280" s="85"/>
      <c r="D280" s="102"/>
      <c r="E280" s="103"/>
    </row>
    <row r="281" spans="1:5" x14ac:dyDescent="0.35">
      <c r="A281" s="83"/>
      <c r="B281" s="84"/>
      <c r="C281" s="85"/>
      <c r="D281" s="102"/>
      <c r="E281" s="103"/>
    </row>
    <row r="282" spans="1:5" x14ac:dyDescent="0.35">
      <c r="A282" s="83"/>
      <c r="B282" s="84"/>
      <c r="C282" s="85"/>
      <c r="D282" s="102"/>
      <c r="E282" s="103"/>
    </row>
    <row r="283" spans="1:5" x14ac:dyDescent="0.35">
      <c r="A283" s="83"/>
      <c r="B283" s="84"/>
      <c r="C283" s="85"/>
      <c r="D283" s="102"/>
      <c r="E283" s="103"/>
    </row>
    <row r="284" spans="1:5" x14ac:dyDescent="0.35">
      <c r="A284" s="83"/>
      <c r="B284" s="84"/>
      <c r="C284" s="85"/>
      <c r="D284" s="102"/>
      <c r="E284" s="103"/>
    </row>
    <row r="285" spans="1:5" x14ac:dyDescent="0.35">
      <c r="A285" s="83"/>
      <c r="B285" s="84"/>
      <c r="C285" s="85"/>
      <c r="D285" s="102"/>
      <c r="E285" s="103"/>
    </row>
    <row r="286" spans="1:5" x14ac:dyDescent="0.35">
      <c r="A286" s="83"/>
      <c r="B286" s="84"/>
      <c r="C286" s="85"/>
      <c r="D286" s="102"/>
      <c r="E286" s="10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5658-F344-40ED-BEF4-06FB2B2D2350}">
  <sheetPr codeName="Sheet23"/>
  <dimension ref="A1:E62"/>
  <sheetViews>
    <sheetView topLeftCell="A37" workbookViewId="0">
      <selection sqref="A1:XFD1048576"/>
    </sheetView>
  </sheetViews>
  <sheetFormatPr defaultRowHeight="14.4" x14ac:dyDescent="0.35"/>
  <cols>
    <col min="1" max="1" width="11.44140625" bestFit="1" customWidth="1"/>
    <col min="2" max="2" width="7" bestFit="1" customWidth="1"/>
    <col min="3" max="3" width="16.44140625" bestFit="1" customWidth="1"/>
    <col min="4" max="4" width="12" bestFit="1" customWidth="1"/>
    <col min="5" max="5" width="12.44140625" bestFit="1" customWidth="1"/>
    <col min="6" max="6" width="15" bestFit="1" customWidth="1"/>
  </cols>
  <sheetData>
    <row r="1" spans="1:5" x14ac:dyDescent="0.35">
      <c r="A1" t="s">
        <v>152</v>
      </c>
      <c r="B1" t="s">
        <v>22</v>
      </c>
      <c r="C1" t="s">
        <v>528</v>
      </c>
      <c r="D1" t="s">
        <v>681</v>
      </c>
      <c r="E1" t="s">
        <v>680</v>
      </c>
    </row>
    <row r="2" spans="1:5" x14ac:dyDescent="0.35">
      <c r="A2" t="s">
        <v>685</v>
      </c>
      <c r="B2" t="s">
        <v>116</v>
      </c>
      <c r="C2" s="3">
        <v>45757</v>
      </c>
      <c r="D2">
        <v>396</v>
      </c>
      <c r="E2">
        <v>406</v>
      </c>
    </row>
    <row r="3" spans="1:5" x14ac:dyDescent="0.35">
      <c r="A3" t="s">
        <v>685</v>
      </c>
      <c r="B3" t="s">
        <v>116</v>
      </c>
      <c r="C3" s="3">
        <v>45761</v>
      </c>
      <c r="D3">
        <v>372</v>
      </c>
      <c r="E3">
        <v>389</v>
      </c>
    </row>
    <row r="4" spans="1:5" x14ac:dyDescent="0.35">
      <c r="A4" t="s">
        <v>685</v>
      </c>
      <c r="B4" t="s">
        <v>116</v>
      </c>
      <c r="C4" s="3">
        <v>45762</v>
      </c>
      <c r="D4">
        <v>365</v>
      </c>
      <c r="E4">
        <v>377</v>
      </c>
    </row>
    <row r="5" spans="1:5" x14ac:dyDescent="0.35">
      <c r="A5" t="s">
        <v>685</v>
      </c>
      <c r="B5" t="s">
        <v>116</v>
      </c>
      <c r="C5" s="3">
        <v>45764</v>
      </c>
      <c r="D5">
        <v>367</v>
      </c>
      <c r="E5">
        <v>372</v>
      </c>
    </row>
    <row r="6" spans="1:5" x14ac:dyDescent="0.35">
      <c r="A6" t="s">
        <v>685</v>
      </c>
      <c r="B6" t="s">
        <v>116</v>
      </c>
      <c r="C6" s="3">
        <v>45765</v>
      </c>
      <c r="D6">
        <v>358</v>
      </c>
      <c r="E6">
        <v>365</v>
      </c>
    </row>
    <row r="7" spans="1:5" x14ac:dyDescent="0.35">
      <c r="A7" t="s">
        <v>685</v>
      </c>
      <c r="B7" t="s">
        <v>116</v>
      </c>
      <c r="C7" s="3">
        <v>45769</v>
      </c>
      <c r="D7">
        <v>341</v>
      </c>
      <c r="E7">
        <v>353</v>
      </c>
    </row>
    <row r="8" spans="1:5" x14ac:dyDescent="0.35">
      <c r="A8" t="s">
        <v>685</v>
      </c>
      <c r="B8" t="s">
        <v>116</v>
      </c>
      <c r="C8" s="3">
        <v>45770</v>
      </c>
      <c r="D8">
        <v>351</v>
      </c>
      <c r="E8">
        <v>352</v>
      </c>
    </row>
    <row r="9" spans="1:5" x14ac:dyDescent="0.35">
      <c r="A9" t="s">
        <v>685</v>
      </c>
      <c r="B9" t="s">
        <v>116</v>
      </c>
      <c r="C9" s="3">
        <v>45772</v>
      </c>
      <c r="D9">
        <v>350</v>
      </c>
      <c r="E9">
        <v>351</v>
      </c>
    </row>
    <row r="10" spans="1:5" x14ac:dyDescent="0.35">
      <c r="A10" t="s">
        <v>685</v>
      </c>
      <c r="B10" t="s">
        <v>116</v>
      </c>
      <c r="C10" s="3">
        <v>45775</v>
      </c>
      <c r="D10">
        <v>319</v>
      </c>
      <c r="E10">
        <v>335</v>
      </c>
    </row>
    <row r="11" spans="1:5" x14ac:dyDescent="0.35">
      <c r="A11" t="s">
        <v>685</v>
      </c>
      <c r="B11" t="s">
        <v>116</v>
      </c>
      <c r="C11" s="3">
        <v>45776</v>
      </c>
      <c r="D11">
        <v>289</v>
      </c>
      <c r="E11">
        <v>312</v>
      </c>
    </row>
    <row r="12" spans="1:5" x14ac:dyDescent="0.35">
      <c r="A12" t="s">
        <v>685</v>
      </c>
      <c r="B12" t="s">
        <v>116</v>
      </c>
      <c r="C12" s="3">
        <v>45777</v>
      </c>
      <c r="D12">
        <v>280</v>
      </c>
      <c r="E12">
        <v>296</v>
      </c>
    </row>
    <row r="13" spans="1:5" x14ac:dyDescent="0.35">
      <c r="A13" t="s">
        <v>685</v>
      </c>
      <c r="B13" t="s">
        <v>116</v>
      </c>
      <c r="C13" s="3">
        <v>45779</v>
      </c>
      <c r="D13">
        <v>246</v>
      </c>
      <c r="E13">
        <v>271</v>
      </c>
    </row>
    <row r="14" spans="1:5" x14ac:dyDescent="0.35">
      <c r="A14" t="s">
        <v>685</v>
      </c>
      <c r="B14" t="s">
        <v>116</v>
      </c>
      <c r="C14" s="3">
        <v>45791</v>
      </c>
      <c r="D14">
        <v>155</v>
      </c>
      <c r="E14">
        <v>213</v>
      </c>
    </row>
    <row r="15" spans="1:5" x14ac:dyDescent="0.35">
      <c r="A15" t="s">
        <v>686</v>
      </c>
      <c r="B15" t="s">
        <v>116</v>
      </c>
      <c r="C15" s="3">
        <v>45782</v>
      </c>
      <c r="D15">
        <v>500</v>
      </c>
      <c r="E15">
        <v>510</v>
      </c>
    </row>
    <row r="16" spans="1:5" x14ac:dyDescent="0.35">
      <c r="A16" t="s">
        <v>686</v>
      </c>
      <c r="B16" t="s">
        <v>116</v>
      </c>
      <c r="C16" s="3">
        <v>45783</v>
      </c>
      <c r="D16">
        <v>504</v>
      </c>
      <c r="E16">
        <v>507</v>
      </c>
    </row>
    <row r="17" spans="1:5" x14ac:dyDescent="0.35">
      <c r="A17" t="s">
        <v>686</v>
      </c>
      <c r="B17" t="s">
        <v>116</v>
      </c>
      <c r="C17" s="3">
        <v>45784</v>
      </c>
      <c r="D17">
        <v>451</v>
      </c>
      <c r="E17">
        <v>479</v>
      </c>
    </row>
    <row r="18" spans="1:5" x14ac:dyDescent="0.35">
      <c r="A18" t="s">
        <v>686</v>
      </c>
      <c r="B18" t="s">
        <v>116</v>
      </c>
      <c r="C18" s="3">
        <v>45785</v>
      </c>
      <c r="D18">
        <v>403</v>
      </c>
      <c r="E18">
        <v>441</v>
      </c>
    </row>
    <row r="19" spans="1:5" x14ac:dyDescent="0.35">
      <c r="A19" t="s">
        <v>686</v>
      </c>
      <c r="B19" t="s">
        <v>116</v>
      </c>
      <c r="C19" s="3">
        <v>45786</v>
      </c>
      <c r="D19">
        <v>363</v>
      </c>
      <c r="E19">
        <v>402</v>
      </c>
    </row>
    <row r="20" spans="1:5" x14ac:dyDescent="0.35">
      <c r="A20" t="s">
        <v>686</v>
      </c>
      <c r="B20" t="s">
        <v>116</v>
      </c>
      <c r="C20" s="3">
        <v>45789</v>
      </c>
      <c r="D20">
        <v>314</v>
      </c>
      <c r="E20">
        <v>358</v>
      </c>
    </row>
    <row r="21" spans="1:5" x14ac:dyDescent="0.35">
      <c r="A21" t="s">
        <v>686</v>
      </c>
      <c r="B21" t="s">
        <v>116</v>
      </c>
      <c r="C21" s="3">
        <v>45790</v>
      </c>
      <c r="D21">
        <v>304</v>
      </c>
      <c r="E21">
        <v>331</v>
      </c>
    </row>
    <row r="22" spans="1:5" x14ac:dyDescent="0.35">
      <c r="A22" t="s">
        <v>686</v>
      </c>
      <c r="B22" t="s">
        <v>116</v>
      </c>
      <c r="C22" s="3">
        <v>45791</v>
      </c>
      <c r="D22">
        <v>279</v>
      </c>
      <c r="E22">
        <v>305</v>
      </c>
    </row>
    <row r="23" spans="1:5" x14ac:dyDescent="0.35">
      <c r="A23" t="s">
        <v>686</v>
      </c>
      <c r="B23" t="s">
        <v>116</v>
      </c>
      <c r="C23" s="3">
        <v>45792</v>
      </c>
      <c r="D23">
        <v>277</v>
      </c>
      <c r="E23">
        <v>291</v>
      </c>
    </row>
    <row r="24" spans="1:5" x14ac:dyDescent="0.35">
      <c r="A24" t="s">
        <v>686</v>
      </c>
      <c r="B24" t="s">
        <v>116</v>
      </c>
      <c r="C24" s="3">
        <v>45793</v>
      </c>
      <c r="D24">
        <v>265</v>
      </c>
      <c r="E24">
        <v>278</v>
      </c>
    </row>
    <row r="25" spans="1:5" x14ac:dyDescent="0.35">
      <c r="A25" t="s">
        <v>686</v>
      </c>
      <c r="B25" t="s">
        <v>116</v>
      </c>
      <c r="C25" s="3">
        <v>45796</v>
      </c>
      <c r="D25">
        <v>264</v>
      </c>
      <c r="E25">
        <v>271</v>
      </c>
    </row>
    <row r="26" spans="1:5" x14ac:dyDescent="0.35">
      <c r="A26" t="s">
        <v>686</v>
      </c>
      <c r="B26" t="s">
        <v>116</v>
      </c>
      <c r="C26" s="3">
        <v>45797</v>
      </c>
      <c r="D26">
        <v>233</v>
      </c>
      <c r="E26">
        <v>252</v>
      </c>
    </row>
    <row r="27" spans="1:5" x14ac:dyDescent="0.35">
      <c r="A27" t="s">
        <v>686</v>
      </c>
      <c r="B27" t="s">
        <v>116</v>
      </c>
      <c r="C27" s="3">
        <v>45798</v>
      </c>
      <c r="D27">
        <v>196</v>
      </c>
      <c r="E27">
        <v>224</v>
      </c>
    </row>
    <row r="28" spans="1:5" x14ac:dyDescent="0.35">
      <c r="A28" t="s">
        <v>686</v>
      </c>
      <c r="B28" t="s">
        <v>116</v>
      </c>
      <c r="C28" s="3">
        <v>45799</v>
      </c>
      <c r="D28">
        <v>188</v>
      </c>
      <c r="E28">
        <v>206</v>
      </c>
    </row>
    <row r="29" spans="1:5" x14ac:dyDescent="0.35">
      <c r="A29" t="s">
        <v>686</v>
      </c>
      <c r="B29" t="s">
        <v>116</v>
      </c>
      <c r="C29" s="3">
        <v>45800</v>
      </c>
      <c r="D29">
        <v>130</v>
      </c>
      <c r="E29">
        <v>168</v>
      </c>
    </row>
    <row r="30" spans="1:5" x14ac:dyDescent="0.35">
      <c r="A30" t="s">
        <v>686</v>
      </c>
      <c r="B30" t="s">
        <v>116</v>
      </c>
      <c r="C30" s="3">
        <v>45803</v>
      </c>
      <c r="D30">
        <v>60</v>
      </c>
      <c r="E30">
        <v>114</v>
      </c>
    </row>
    <row r="31" spans="1:5" x14ac:dyDescent="0.35">
      <c r="A31" t="s">
        <v>686</v>
      </c>
      <c r="B31" t="s">
        <v>116</v>
      </c>
      <c r="C31" s="3">
        <v>45804</v>
      </c>
      <c r="D31">
        <v>58</v>
      </c>
      <c r="E31">
        <v>86</v>
      </c>
    </row>
    <row r="32" spans="1:5" x14ac:dyDescent="0.35">
      <c r="A32" t="s">
        <v>686</v>
      </c>
      <c r="B32" t="s">
        <v>116</v>
      </c>
      <c r="C32" s="3">
        <v>45805</v>
      </c>
      <c r="D32">
        <v>16</v>
      </c>
      <c r="E32">
        <v>51</v>
      </c>
    </row>
    <row r="33" spans="1:5" x14ac:dyDescent="0.35">
      <c r="A33" t="s">
        <v>686</v>
      </c>
      <c r="B33" t="s">
        <v>116</v>
      </c>
      <c r="C33" s="3">
        <v>45806</v>
      </c>
      <c r="D33">
        <v>31</v>
      </c>
      <c r="E33">
        <v>41</v>
      </c>
    </row>
    <row r="34" spans="1:5" x14ac:dyDescent="0.35">
      <c r="A34" t="s">
        <v>686</v>
      </c>
      <c r="B34" t="s">
        <v>116</v>
      </c>
      <c r="C34" s="3">
        <v>45807</v>
      </c>
      <c r="D34">
        <v>5</v>
      </c>
      <c r="E34">
        <v>23</v>
      </c>
    </row>
    <row r="35" spans="1:5" x14ac:dyDescent="0.35">
      <c r="A35" t="s">
        <v>686</v>
      </c>
      <c r="B35" t="s">
        <v>116</v>
      </c>
      <c r="C35" s="3">
        <v>45810</v>
      </c>
      <c r="D35">
        <v>11</v>
      </c>
      <c r="E35">
        <v>17</v>
      </c>
    </row>
    <row r="36" spans="1:5" x14ac:dyDescent="0.35">
      <c r="A36" t="s">
        <v>686</v>
      </c>
      <c r="B36" t="s">
        <v>116</v>
      </c>
      <c r="C36" s="3">
        <v>45811</v>
      </c>
      <c r="D36">
        <v>-15</v>
      </c>
      <c r="E36">
        <v>1</v>
      </c>
    </row>
    <row r="37" spans="1:5" x14ac:dyDescent="0.35">
      <c r="A37" t="s">
        <v>687</v>
      </c>
      <c r="B37" t="s">
        <v>116</v>
      </c>
      <c r="C37" s="3">
        <v>45813</v>
      </c>
      <c r="D37">
        <v>337</v>
      </c>
      <c r="E37">
        <v>341</v>
      </c>
    </row>
    <row r="38" spans="1:5" x14ac:dyDescent="0.35">
      <c r="A38" t="s">
        <v>687</v>
      </c>
      <c r="B38" t="s">
        <v>116</v>
      </c>
      <c r="C38" s="3">
        <v>45814</v>
      </c>
      <c r="D38">
        <v>275</v>
      </c>
      <c r="E38">
        <v>308</v>
      </c>
    </row>
    <row r="39" spans="1:5" x14ac:dyDescent="0.35">
      <c r="A39" t="s">
        <v>687</v>
      </c>
      <c r="B39" t="s">
        <v>116</v>
      </c>
      <c r="C39" s="3">
        <v>45817</v>
      </c>
      <c r="D39">
        <v>272</v>
      </c>
      <c r="E39">
        <v>290</v>
      </c>
    </row>
    <row r="40" spans="1:5" x14ac:dyDescent="0.35">
      <c r="A40" t="s">
        <v>687</v>
      </c>
      <c r="B40" t="s">
        <v>116</v>
      </c>
      <c r="C40" s="3">
        <v>45818</v>
      </c>
      <c r="D40">
        <v>238</v>
      </c>
      <c r="E40">
        <v>264</v>
      </c>
    </row>
    <row r="41" spans="1:5" x14ac:dyDescent="0.35">
      <c r="A41" t="s">
        <v>687</v>
      </c>
      <c r="B41" t="s">
        <v>116</v>
      </c>
      <c r="C41" s="3">
        <v>45819</v>
      </c>
      <c r="D41">
        <v>208</v>
      </c>
      <c r="E41">
        <v>236</v>
      </c>
    </row>
    <row r="42" spans="1:5" x14ac:dyDescent="0.35">
      <c r="A42" t="s">
        <v>687</v>
      </c>
      <c r="B42" t="s">
        <v>116</v>
      </c>
      <c r="C42" s="3">
        <v>45820</v>
      </c>
      <c r="D42">
        <v>184</v>
      </c>
      <c r="E42">
        <v>210</v>
      </c>
    </row>
    <row r="43" spans="1:5" x14ac:dyDescent="0.35">
      <c r="A43" t="s">
        <v>687</v>
      </c>
      <c r="B43" t="s">
        <v>116</v>
      </c>
      <c r="C43" s="3">
        <v>45821</v>
      </c>
      <c r="D43">
        <v>158</v>
      </c>
      <c r="E43">
        <v>184</v>
      </c>
    </row>
    <row r="44" spans="1:5" x14ac:dyDescent="0.35">
      <c r="A44" t="s">
        <v>687</v>
      </c>
      <c r="B44" t="s">
        <v>116</v>
      </c>
      <c r="C44" s="3">
        <v>45824</v>
      </c>
      <c r="D44">
        <v>134</v>
      </c>
      <c r="E44">
        <v>159</v>
      </c>
    </row>
    <row r="45" spans="1:5" x14ac:dyDescent="0.35">
      <c r="A45" t="s">
        <v>687</v>
      </c>
      <c r="B45" t="s">
        <v>116</v>
      </c>
      <c r="C45" s="3">
        <v>45825</v>
      </c>
      <c r="D45">
        <v>87</v>
      </c>
      <c r="E45">
        <v>123</v>
      </c>
    </row>
    <row r="46" spans="1:5" x14ac:dyDescent="0.35">
      <c r="A46" t="s">
        <v>687</v>
      </c>
      <c r="B46" t="s">
        <v>116</v>
      </c>
      <c r="C46" s="3">
        <v>45826</v>
      </c>
      <c r="D46">
        <v>55</v>
      </c>
      <c r="E46">
        <v>89</v>
      </c>
    </row>
    <row r="47" spans="1:5" x14ac:dyDescent="0.35">
      <c r="A47" t="s">
        <v>687</v>
      </c>
      <c r="B47" t="s">
        <v>116</v>
      </c>
      <c r="C47" s="3">
        <v>45827</v>
      </c>
      <c r="D47">
        <v>33</v>
      </c>
      <c r="E47">
        <v>61</v>
      </c>
    </row>
    <row r="48" spans="1:5" x14ac:dyDescent="0.35">
      <c r="A48" t="s">
        <v>687</v>
      </c>
      <c r="B48" t="s">
        <v>116</v>
      </c>
      <c r="C48" s="3">
        <v>45828</v>
      </c>
      <c r="D48">
        <v>53</v>
      </c>
      <c r="E48">
        <v>57</v>
      </c>
    </row>
    <row r="49" spans="1:5" x14ac:dyDescent="0.35">
      <c r="A49" t="s">
        <v>687</v>
      </c>
      <c r="B49" t="s">
        <v>116</v>
      </c>
      <c r="C49" s="3">
        <v>45831</v>
      </c>
      <c r="D49">
        <v>21</v>
      </c>
      <c r="E49">
        <v>39</v>
      </c>
    </row>
    <row r="50" spans="1:5" x14ac:dyDescent="0.35">
      <c r="A50" t="s">
        <v>687</v>
      </c>
      <c r="B50" t="s">
        <v>116</v>
      </c>
      <c r="C50" s="3">
        <v>45832</v>
      </c>
      <c r="D50">
        <v>9</v>
      </c>
      <c r="E50">
        <v>24</v>
      </c>
    </row>
    <row r="51" spans="1:5" x14ac:dyDescent="0.35">
      <c r="A51" t="s">
        <v>687</v>
      </c>
      <c r="B51" t="s">
        <v>116</v>
      </c>
      <c r="C51" s="3">
        <v>45833</v>
      </c>
      <c r="D51">
        <v>-24</v>
      </c>
      <c r="E51">
        <v>0</v>
      </c>
    </row>
    <row r="52" spans="1:5" x14ac:dyDescent="0.35">
      <c r="A52" t="s">
        <v>688</v>
      </c>
      <c r="B52" t="s">
        <v>116</v>
      </c>
      <c r="C52" s="3">
        <v>45834</v>
      </c>
      <c r="D52">
        <v>133</v>
      </c>
      <c r="E52">
        <v>146</v>
      </c>
    </row>
    <row r="53" spans="1:5" x14ac:dyDescent="0.35">
      <c r="A53" t="s">
        <v>688</v>
      </c>
      <c r="B53" t="s">
        <v>116</v>
      </c>
      <c r="C53" s="3">
        <v>45835</v>
      </c>
      <c r="D53">
        <v>134</v>
      </c>
      <c r="E53">
        <v>140</v>
      </c>
    </row>
    <row r="54" spans="1:5" x14ac:dyDescent="0.35">
      <c r="A54" t="s">
        <v>688</v>
      </c>
      <c r="B54" t="s">
        <v>116</v>
      </c>
      <c r="C54" s="3">
        <v>45837</v>
      </c>
      <c r="D54">
        <v>104</v>
      </c>
      <c r="E54">
        <v>122</v>
      </c>
    </row>
    <row r="55" spans="1:5" x14ac:dyDescent="0.35">
      <c r="A55" t="s">
        <v>688</v>
      </c>
      <c r="B55" t="s">
        <v>116</v>
      </c>
      <c r="C55" s="3">
        <v>45838</v>
      </c>
      <c r="D55">
        <v>84</v>
      </c>
      <c r="E55">
        <v>103</v>
      </c>
    </row>
    <row r="56" spans="1:5" x14ac:dyDescent="0.35">
      <c r="A56" t="s">
        <v>688</v>
      </c>
      <c r="B56" t="s">
        <v>116</v>
      </c>
      <c r="C56" s="3">
        <v>45839</v>
      </c>
      <c r="D56">
        <v>69</v>
      </c>
      <c r="E56">
        <v>86</v>
      </c>
    </row>
    <row r="57" spans="1:5" x14ac:dyDescent="0.35">
      <c r="A57" t="s">
        <v>688</v>
      </c>
      <c r="B57" t="s">
        <v>116</v>
      </c>
      <c r="C57" s="3">
        <v>45840</v>
      </c>
      <c r="D57">
        <v>52</v>
      </c>
      <c r="E57">
        <v>69</v>
      </c>
    </row>
    <row r="58" spans="1:5" x14ac:dyDescent="0.35">
      <c r="A58" t="s">
        <v>688</v>
      </c>
      <c r="B58" t="s">
        <v>116</v>
      </c>
      <c r="C58" s="3">
        <v>45841</v>
      </c>
      <c r="D58">
        <v>41</v>
      </c>
      <c r="E58">
        <v>55</v>
      </c>
    </row>
    <row r="59" spans="1:5" x14ac:dyDescent="0.35">
      <c r="A59" t="s">
        <v>688</v>
      </c>
      <c r="B59" t="s">
        <v>116</v>
      </c>
      <c r="C59" s="3">
        <v>45842</v>
      </c>
      <c r="D59">
        <v>33</v>
      </c>
      <c r="E59">
        <v>44</v>
      </c>
    </row>
    <row r="60" spans="1:5" x14ac:dyDescent="0.35">
      <c r="A60" t="s">
        <v>688</v>
      </c>
      <c r="B60" t="s">
        <v>116</v>
      </c>
      <c r="C60" s="3">
        <v>45845</v>
      </c>
      <c r="D60">
        <v>-2</v>
      </c>
      <c r="E60">
        <v>21</v>
      </c>
    </row>
    <row r="61" spans="1:5" x14ac:dyDescent="0.35">
      <c r="A61" t="s">
        <v>688</v>
      </c>
      <c r="B61" t="s">
        <v>116</v>
      </c>
      <c r="C61" s="3">
        <v>45846</v>
      </c>
      <c r="D61">
        <v>15</v>
      </c>
      <c r="E61">
        <v>18</v>
      </c>
    </row>
    <row r="62" spans="1:5" x14ac:dyDescent="0.35">
      <c r="A62" t="s">
        <v>688</v>
      </c>
      <c r="B62" t="s">
        <v>116</v>
      </c>
      <c r="C62" s="3">
        <v>45847</v>
      </c>
      <c r="D62">
        <v>-18</v>
      </c>
      <c r="E62">
        <v>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DFF07-4C7E-48A5-B649-219D462E365B}">
  <sheetPr codeName="Sheet13"/>
  <dimension ref="A1:F365"/>
  <sheetViews>
    <sheetView workbookViewId="0">
      <selection activeCell="A2" sqref="A2:A500"/>
    </sheetView>
  </sheetViews>
  <sheetFormatPr defaultRowHeight="14.4" x14ac:dyDescent="0.35"/>
  <cols>
    <col min="1" max="1" width="15.88671875" style="108" bestFit="1" customWidth="1"/>
    <col min="2" max="2" width="11.6640625" style="69" bestFit="1" customWidth="1"/>
    <col min="6" max="6" width="21.88671875" bestFit="1" customWidth="1"/>
  </cols>
  <sheetData>
    <row r="1" spans="1:6" x14ac:dyDescent="0.35">
      <c r="A1" s="88" t="s">
        <v>391</v>
      </c>
      <c r="B1" s="104" t="s">
        <v>370</v>
      </c>
      <c r="F1" s="88" t="s">
        <v>371</v>
      </c>
    </row>
    <row r="2" spans="1:6" x14ac:dyDescent="0.35">
      <c r="A2" s="107" t="s">
        <v>395</v>
      </c>
      <c r="B2" s="105" t="s">
        <v>199</v>
      </c>
      <c r="F2" s="89" t="s">
        <v>196</v>
      </c>
    </row>
    <row r="3" spans="1:6" x14ac:dyDescent="0.35">
      <c r="A3" s="108" t="s">
        <v>469</v>
      </c>
      <c r="B3" s="106" t="s">
        <v>196</v>
      </c>
      <c r="F3" s="90" t="s">
        <v>197</v>
      </c>
    </row>
    <row r="4" spans="1:6" x14ac:dyDescent="0.35">
      <c r="A4" s="108" t="s">
        <v>470</v>
      </c>
      <c r="B4" s="106" t="s">
        <v>199</v>
      </c>
      <c r="F4" s="90" t="s">
        <v>198</v>
      </c>
    </row>
    <row r="5" spans="1:6" x14ac:dyDescent="0.35">
      <c r="A5" s="108" t="s">
        <v>471</v>
      </c>
      <c r="B5" s="106" t="s">
        <v>240</v>
      </c>
      <c r="F5" s="90" t="s">
        <v>199</v>
      </c>
    </row>
    <row r="6" spans="1:6" x14ac:dyDescent="0.35">
      <c r="A6" s="108" t="s">
        <v>472</v>
      </c>
      <c r="B6" s="106" t="s">
        <v>199</v>
      </c>
      <c r="F6" s="91" t="s">
        <v>240</v>
      </c>
    </row>
    <row r="7" spans="1:6" x14ac:dyDescent="0.35">
      <c r="A7" s="108" t="s">
        <v>473</v>
      </c>
      <c r="B7" s="106" t="s">
        <v>198</v>
      </c>
    </row>
    <row r="8" spans="1:6" x14ac:dyDescent="0.35">
      <c r="A8" s="108" t="s">
        <v>474</v>
      </c>
      <c r="B8" s="106" t="s">
        <v>196</v>
      </c>
    </row>
    <row r="9" spans="1:6" x14ac:dyDescent="0.35">
      <c r="A9" s="108" t="s">
        <v>475</v>
      </c>
      <c r="B9" s="106" t="s">
        <v>199</v>
      </c>
    </row>
    <row r="10" spans="1:6" x14ac:dyDescent="0.35">
      <c r="A10" s="108" t="s">
        <v>476</v>
      </c>
      <c r="B10" s="106" t="s">
        <v>196</v>
      </c>
    </row>
    <row r="11" spans="1:6" x14ac:dyDescent="0.35">
      <c r="A11" s="108" t="s">
        <v>477</v>
      </c>
      <c r="B11" s="106" t="s">
        <v>199</v>
      </c>
    </row>
    <row r="12" spans="1:6" x14ac:dyDescent="0.35">
      <c r="A12" s="108" t="s">
        <v>478</v>
      </c>
      <c r="B12" s="106" t="s">
        <v>199</v>
      </c>
    </row>
    <row r="13" spans="1:6" x14ac:dyDescent="0.35">
      <c r="A13" s="108" t="s">
        <v>479</v>
      </c>
      <c r="B13" s="106" t="s">
        <v>198</v>
      </c>
    </row>
    <row r="14" spans="1:6" x14ac:dyDescent="0.35">
      <c r="A14" s="108" t="s">
        <v>412</v>
      </c>
      <c r="B14" s="106" t="s">
        <v>197</v>
      </c>
    </row>
    <row r="15" spans="1:6" x14ac:dyDescent="0.35">
      <c r="A15" s="108" t="s">
        <v>480</v>
      </c>
      <c r="B15" s="106" t="s">
        <v>199</v>
      </c>
    </row>
    <row r="16" spans="1:6" x14ac:dyDescent="0.35">
      <c r="A16" s="108" t="s">
        <v>481</v>
      </c>
      <c r="B16" s="106" t="s">
        <v>196</v>
      </c>
    </row>
    <row r="17" spans="1:2" x14ac:dyDescent="0.35">
      <c r="A17" s="108" t="s">
        <v>492</v>
      </c>
      <c r="B17" s="106" t="s">
        <v>196</v>
      </c>
    </row>
    <row r="18" spans="1:2" x14ac:dyDescent="0.35">
      <c r="A18" s="108" t="s">
        <v>493</v>
      </c>
      <c r="B18" s="106" t="s">
        <v>196</v>
      </c>
    </row>
    <row r="19" spans="1:2" x14ac:dyDescent="0.35">
      <c r="A19" s="108" t="s">
        <v>497</v>
      </c>
      <c r="B19" s="106" t="s">
        <v>196</v>
      </c>
    </row>
    <row r="20" spans="1:2" x14ac:dyDescent="0.35">
      <c r="A20" s="108" t="s">
        <v>498</v>
      </c>
      <c r="B20" s="106" t="s">
        <v>196</v>
      </c>
    </row>
    <row r="21" spans="1:2" x14ac:dyDescent="0.35">
      <c r="A21" s="108" t="s">
        <v>499</v>
      </c>
      <c r="B21" s="106" t="s">
        <v>196</v>
      </c>
    </row>
    <row r="22" spans="1:2" x14ac:dyDescent="0.35">
      <c r="A22" s="108" t="s">
        <v>523</v>
      </c>
      <c r="B22" s="106"/>
    </row>
    <row r="23" spans="1:2" x14ac:dyDescent="0.35">
      <c r="A23" s="108" t="s">
        <v>527</v>
      </c>
      <c r="B23" s="106"/>
    </row>
    <row r="24" spans="1:2" x14ac:dyDescent="0.35">
      <c r="A24" s="108" t="s">
        <v>552</v>
      </c>
      <c r="B24" s="106"/>
    </row>
    <row r="25" spans="1:2" x14ac:dyDescent="0.35">
      <c r="A25" s="108" t="s">
        <v>553</v>
      </c>
      <c r="B25" s="106"/>
    </row>
    <row r="26" spans="1:2" x14ac:dyDescent="0.35">
      <c r="A26" s="108" t="s">
        <v>554</v>
      </c>
      <c r="B26" s="106"/>
    </row>
    <row r="27" spans="1:2" x14ac:dyDescent="0.35">
      <c r="A27" s="108" t="s">
        <v>555</v>
      </c>
      <c r="B27" s="106"/>
    </row>
    <row r="28" spans="1:2" x14ac:dyDescent="0.35">
      <c r="A28" s="108" t="s">
        <v>556</v>
      </c>
      <c r="B28" s="106"/>
    </row>
    <row r="29" spans="1:2" x14ac:dyDescent="0.35">
      <c r="A29" s="108" t="s">
        <v>557</v>
      </c>
      <c r="B29" s="106"/>
    </row>
    <row r="30" spans="1:2" x14ac:dyDescent="0.35">
      <c r="A30" s="108" t="s">
        <v>558</v>
      </c>
      <c r="B30" s="106"/>
    </row>
    <row r="31" spans="1:2" x14ac:dyDescent="0.35">
      <c r="A31" s="108" t="s">
        <v>559</v>
      </c>
      <c r="B31" s="106"/>
    </row>
    <row r="32" spans="1:2" x14ac:dyDescent="0.35">
      <c r="A32" s="108" t="s">
        <v>560</v>
      </c>
      <c r="B32" s="106"/>
    </row>
    <row r="33" spans="1:2" x14ac:dyDescent="0.35">
      <c r="A33" s="108" t="s">
        <v>561</v>
      </c>
      <c r="B33" s="106"/>
    </row>
    <row r="34" spans="1:2" x14ac:dyDescent="0.35">
      <c r="A34" s="108" t="s">
        <v>562</v>
      </c>
      <c r="B34" s="106"/>
    </row>
    <row r="35" spans="1:2" x14ac:dyDescent="0.35">
      <c r="A35" s="108" t="s">
        <v>563</v>
      </c>
      <c r="B35" s="106"/>
    </row>
    <row r="36" spans="1:2" x14ac:dyDescent="0.35">
      <c r="A36" s="108" t="s">
        <v>564</v>
      </c>
      <c r="B36" s="106"/>
    </row>
    <row r="37" spans="1:2" x14ac:dyDescent="0.35">
      <c r="A37" s="108" t="s">
        <v>565</v>
      </c>
      <c r="B37" s="106"/>
    </row>
    <row r="38" spans="1:2" x14ac:dyDescent="0.35">
      <c r="A38" s="108" t="s">
        <v>566</v>
      </c>
      <c r="B38" s="106"/>
    </row>
    <row r="39" spans="1:2" x14ac:dyDescent="0.35">
      <c r="A39" s="108" t="s">
        <v>567</v>
      </c>
      <c r="B39" s="106"/>
    </row>
    <row r="40" spans="1:2" x14ac:dyDescent="0.35">
      <c r="A40" s="108" t="s">
        <v>568</v>
      </c>
      <c r="B40" s="106"/>
    </row>
    <row r="41" spans="1:2" x14ac:dyDescent="0.35">
      <c r="A41" s="108" t="s">
        <v>569</v>
      </c>
      <c r="B41" s="106"/>
    </row>
    <row r="42" spans="1:2" x14ac:dyDescent="0.35">
      <c r="A42" s="108" t="s">
        <v>570</v>
      </c>
      <c r="B42" s="106"/>
    </row>
    <row r="43" spans="1:2" x14ac:dyDescent="0.35">
      <c r="A43" s="108" t="s">
        <v>571</v>
      </c>
      <c r="B43" s="106"/>
    </row>
    <row r="44" spans="1:2" x14ac:dyDescent="0.35">
      <c r="A44" s="108" t="s">
        <v>572</v>
      </c>
      <c r="B44" s="106"/>
    </row>
    <row r="45" spans="1:2" x14ac:dyDescent="0.35">
      <c r="A45" s="108" t="s">
        <v>573</v>
      </c>
      <c r="B45" s="106"/>
    </row>
    <row r="46" spans="1:2" x14ac:dyDescent="0.35">
      <c r="A46" s="108" t="s">
        <v>574</v>
      </c>
      <c r="B46" s="105"/>
    </row>
    <row r="47" spans="1:2" x14ac:dyDescent="0.35">
      <c r="A47" s="108" t="s">
        <v>575</v>
      </c>
      <c r="B47" s="106"/>
    </row>
    <row r="48" spans="1:2" x14ac:dyDescent="0.35">
      <c r="A48" s="108" t="s">
        <v>576</v>
      </c>
      <c r="B48" s="106"/>
    </row>
    <row r="49" spans="1:2" x14ac:dyDescent="0.35">
      <c r="A49" s="108" t="s">
        <v>577</v>
      </c>
      <c r="B49" s="106"/>
    </row>
    <row r="50" spans="1:2" x14ac:dyDescent="0.35">
      <c r="A50" s="108" t="s">
        <v>578</v>
      </c>
      <c r="B50" s="106"/>
    </row>
    <row r="51" spans="1:2" x14ac:dyDescent="0.35">
      <c r="A51" s="108" t="s">
        <v>579</v>
      </c>
      <c r="B51" s="106"/>
    </row>
    <row r="52" spans="1:2" x14ac:dyDescent="0.35">
      <c r="A52" s="108" t="s">
        <v>580</v>
      </c>
      <c r="B52" s="106"/>
    </row>
    <row r="53" spans="1:2" x14ac:dyDescent="0.35">
      <c r="A53" s="108" t="s">
        <v>581</v>
      </c>
      <c r="B53" s="106"/>
    </row>
    <row r="54" spans="1:2" x14ac:dyDescent="0.35">
      <c r="A54" s="108" t="s">
        <v>582</v>
      </c>
      <c r="B54" s="106"/>
    </row>
    <row r="55" spans="1:2" x14ac:dyDescent="0.35">
      <c r="A55" s="108" t="s">
        <v>583</v>
      </c>
      <c r="B55" s="106"/>
    </row>
    <row r="56" spans="1:2" x14ac:dyDescent="0.35">
      <c r="A56" s="108" t="s">
        <v>584</v>
      </c>
      <c r="B56" s="106"/>
    </row>
    <row r="57" spans="1:2" x14ac:dyDescent="0.35">
      <c r="A57" s="108" t="s">
        <v>585</v>
      </c>
      <c r="B57" s="106"/>
    </row>
    <row r="58" spans="1:2" x14ac:dyDescent="0.35">
      <c r="A58" s="108" t="s">
        <v>586</v>
      </c>
      <c r="B58" s="106"/>
    </row>
    <row r="59" spans="1:2" x14ac:dyDescent="0.35">
      <c r="A59" s="108" t="s">
        <v>587</v>
      </c>
      <c r="B59" s="106"/>
    </row>
    <row r="60" spans="1:2" x14ac:dyDescent="0.35">
      <c r="A60" s="108" t="s">
        <v>588</v>
      </c>
      <c r="B60" s="106"/>
    </row>
    <row r="61" spans="1:2" x14ac:dyDescent="0.35">
      <c r="A61" s="108" t="s">
        <v>589</v>
      </c>
      <c r="B61" s="106"/>
    </row>
    <row r="62" spans="1:2" x14ac:dyDescent="0.35">
      <c r="A62" s="108" t="s">
        <v>590</v>
      </c>
      <c r="B62" s="106"/>
    </row>
    <row r="63" spans="1:2" x14ac:dyDescent="0.35">
      <c r="A63" s="108" t="s">
        <v>591</v>
      </c>
      <c r="B63" s="106"/>
    </row>
    <row r="64" spans="1:2" x14ac:dyDescent="0.35">
      <c r="A64" s="108" t="s">
        <v>592</v>
      </c>
      <c r="B64" s="106"/>
    </row>
    <row r="65" spans="1:2" x14ac:dyDescent="0.35">
      <c r="A65" s="108" t="s">
        <v>593</v>
      </c>
      <c r="B65" s="106"/>
    </row>
    <row r="66" spans="1:2" x14ac:dyDescent="0.35">
      <c r="A66" s="108" t="s">
        <v>594</v>
      </c>
      <c r="B66" s="106"/>
    </row>
    <row r="67" spans="1:2" x14ac:dyDescent="0.35">
      <c r="A67" s="108" t="s">
        <v>595</v>
      </c>
      <c r="B67" s="106"/>
    </row>
    <row r="68" spans="1:2" x14ac:dyDescent="0.35">
      <c r="A68" s="108" t="s">
        <v>596</v>
      </c>
      <c r="B68" s="106"/>
    </row>
    <row r="69" spans="1:2" x14ac:dyDescent="0.35">
      <c r="A69" s="108" t="s">
        <v>597</v>
      </c>
      <c r="B69" s="106"/>
    </row>
    <row r="70" spans="1:2" x14ac:dyDescent="0.35">
      <c r="A70" s="108" t="s">
        <v>598</v>
      </c>
      <c r="B70" s="106"/>
    </row>
    <row r="71" spans="1:2" x14ac:dyDescent="0.35">
      <c r="A71" s="108" t="s">
        <v>599</v>
      </c>
      <c r="B71" s="106"/>
    </row>
    <row r="72" spans="1:2" x14ac:dyDescent="0.35">
      <c r="A72" s="108" t="s">
        <v>600</v>
      </c>
      <c r="B72" s="106"/>
    </row>
    <row r="73" spans="1:2" x14ac:dyDescent="0.35">
      <c r="A73" s="108" t="s">
        <v>601</v>
      </c>
      <c r="B73" s="106"/>
    </row>
    <row r="74" spans="1:2" x14ac:dyDescent="0.35">
      <c r="A74" s="108" t="s">
        <v>602</v>
      </c>
      <c r="B74" s="106"/>
    </row>
    <row r="75" spans="1:2" x14ac:dyDescent="0.35">
      <c r="A75" s="108" t="s">
        <v>603</v>
      </c>
      <c r="B75" s="106"/>
    </row>
    <row r="76" spans="1:2" x14ac:dyDescent="0.35">
      <c r="A76" s="108" t="s">
        <v>604</v>
      </c>
      <c r="B76" s="106"/>
    </row>
    <row r="77" spans="1:2" x14ac:dyDescent="0.35">
      <c r="A77" s="108" t="s">
        <v>605</v>
      </c>
      <c r="B77" s="106"/>
    </row>
    <row r="78" spans="1:2" x14ac:dyDescent="0.35">
      <c r="A78" s="108" t="s">
        <v>606</v>
      </c>
      <c r="B78" s="106"/>
    </row>
    <row r="79" spans="1:2" x14ac:dyDescent="0.35">
      <c r="A79" s="108" t="s">
        <v>607</v>
      </c>
      <c r="B79" s="106"/>
    </row>
    <row r="80" spans="1:2" x14ac:dyDescent="0.35">
      <c r="A80" s="108" t="s">
        <v>608</v>
      </c>
      <c r="B80" s="106"/>
    </row>
    <row r="81" spans="1:2" x14ac:dyDescent="0.35">
      <c r="A81" s="108" t="s">
        <v>609</v>
      </c>
      <c r="B81" s="106"/>
    </row>
    <row r="82" spans="1:2" x14ac:dyDescent="0.35">
      <c r="A82" s="108" t="s">
        <v>610</v>
      </c>
      <c r="B82" s="106"/>
    </row>
    <row r="83" spans="1:2" x14ac:dyDescent="0.35">
      <c r="A83" s="108" t="s">
        <v>611</v>
      </c>
      <c r="B83" s="106"/>
    </row>
    <row r="84" spans="1:2" x14ac:dyDescent="0.35">
      <c r="A84" s="108" t="s">
        <v>612</v>
      </c>
      <c r="B84" s="106"/>
    </row>
    <row r="85" spans="1:2" x14ac:dyDescent="0.35">
      <c r="A85" s="108" t="s">
        <v>613</v>
      </c>
      <c r="B85" s="106"/>
    </row>
    <row r="86" spans="1:2" x14ac:dyDescent="0.35">
      <c r="A86" s="108" t="s">
        <v>614</v>
      </c>
      <c r="B86" s="106"/>
    </row>
    <row r="87" spans="1:2" x14ac:dyDescent="0.35">
      <c r="A87" s="108" t="s">
        <v>615</v>
      </c>
      <c r="B87" s="106"/>
    </row>
    <row r="88" spans="1:2" x14ac:dyDescent="0.35">
      <c r="A88" s="108" t="s">
        <v>616</v>
      </c>
      <c r="B88" s="106"/>
    </row>
    <row r="89" spans="1:2" x14ac:dyDescent="0.35">
      <c r="A89" s="108" t="s">
        <v>617</v>
      </c>
      <c r="B89" s="106"/>
    </row>
    <row r="90" spans="1:2" x14ac:dyDescent="0.35">
      <c r="A90" s="108" t="s">
        <v>618</v>
      </c>
      <c r="B90" s="106"/>
    </row>
    <row r="91" spans="1:2" x14ac:dyDescent="0.35">
      <c r="A91" s="108" t="s">
        <v>619</v>
      </c>
      <c r="B91" s="106"/>
    </row>
    <row r="92" spans="1:2" x14ac:dyDescent="0.35">
      <c r="A92" s="108" t="s">
        <v>620</v>
      </c>
      <c r="B92" s="106"/>
    </row>
    <row r="93" spans="1:2" x14ac:dyDescent="0.35">
      <c r="A93" s="108" t="s">
        <v>621</v>
      </c>
      <c r="B93" s="106"/>
    </row>
    <row r="94" spans="1:2" x14ac:dyDescent="0.35">
      <c r="A94" s="108" t="s">
        <v>622</v>
      </c>
      <c r="B94" s="106"/>
    </row>
    <row r="95" spans="1:2" x14ac:dyDescent="0.35">
      <c r="A95" s="108" t="s">
        <v>623</v>
      </c>
      <c r="B95" s="106"/>
    </row>
    <row r="96" spans="1:2" x14ac:dyDescent="0.35">
      <c r="A96" s="108" t="s">
        <v>624</v>
      </c>
      <c r="B96" s="106"/>
    </row>
    <row r="97" spans="1:2" x14ac:dyDescent="0.35">
      <c r="A97" s="108" t="s">
        <v>625</v>
      </c>
      <c r="B97" s="106"/>
    </row>
    <row r="98" spans="1:2" x14ac:dyDescent="0.35">
      <c r="A98" s="108" t="s">
        <v>626</v>
      </c>
      <c r="B98" s="106"/>
    </row>
    <row r="99" spans="1:2" x14ac:dyDescent="0.35">
      <c r="A99" s="108" t="s">
        <v>627</v>
      </c>
      <c r="B99" s="106"/>
    </row>
    <row r="100" spans="1:2" x14ac:dyDescent="0.35">
      <c r="A100" s="108" t="s">
        <v>628</v>
      </c>
      <c r="B100" s="106"/>
    </row>
    <row r="101" spans="1:2" x14ac:dyDescent="0.35">
      <c r="A101" s="108" t="s">
        <v>629</v>
      </c>
      <c r="B101" s="106"/>
    </row>
    <row r="102" spans="1:2" x14ac:dyDescent="0.35">
      <c r="A102" s="108" t="s">
        <v>630</v>
      </c>
      <c r="B102" s="106"/>
    </row>
    <row r="103" spans="1:2" x14ac:dyDescent="0.35">
      <c r="A103" s="108" t="s">
        <v>631</v>
      </c>
      <c r="B103" s="106"/>
    </row>
    <row r="104" spans="1:2" x14ac:dyDescent="0.35">
      <c r="A104" s="108" t="s">
        <v>632</v>
      </c>
      <c r="B104" s="106"/>
    </row>
    <row r="105" spans="1:2" x14ac:dyDescent="0.35">
      <c r="A105" s="108" t="s">
        <v>633</v>
      </c>
      <c r="B105" s="106"/>
    </row>
    <row r="106" spans="1:2" x14ac:dyDescent="0.35">
      <c r="A106" s="108" t="s">
        <v>634</v>
      </c>
      <c r="B106" s="106"/>
    </row>
    <row r="107" spans="1:2" x14ac:dyDescent="0.35">
      <c r="A107" s="108" t="s">
        <v>635</v>
      </c>
      <c r="B107" s="106"/>
    </row>
    <row r="108" spans="1:2" x14ac:dyDescent="0.35">
      <c r="A108" s="108" t="s">
        <v>636</v>
      </c>
      <c r="B108" s="106"/>
    </row>
    <row r="109" spans="1:2" x14ac:dyDescent="0.35">
      <c r="A109" s="108" t="s">
        <v>637</v>
      </c>
      <c r="B109" s="106"/>
    </row>
    <row r="110" spans="1:2" x14ac:dyDescent="0.35">
      <c r="A110" s="108" t="s">
        <v>638</v>
      </c>
      <c r="B110" s="106"/>
    </row>
    <row r="111" spans="1:2" x14ac:dyDescent="0.35">
      <c r="A111" s="108" t="s">
        <v>639</v>
      </c>
      <c r="B111" s="106"/>
    </row>
    <row r="112" spans="1:2" x14ac:dyDescent="0.35">
      <c r="A112" s="108" t="s">
        <v>640</v>
      </c>
      <c r="B112" s="106"/>
    </row>
    <row r="113" spans="1:2" x14ac:dyDescent="0.35">
      <c r="A113" s="108" t="s">
        <v>641</v>
      </c>
      <c r="B113" s="106"/>
    </row>
    <row r="114" spans="1:2" x14ac:dyDescent="0.35">
      <c r="A114" s="108" t="s">
        <v>642</v>
      </c>
      <c r="B114" s="106"/>
    </row>
    <row r="115" spans="1:2" x14ac:dyDescent="0.35">
      <c r="A115" s="108" t="s">
        <v>643</v>
      </c>
      <c r="B115" s="106"/>
    </row>
    <row r="116" spans="1:2" x14ac:dyDescent="0.35">
      <c r="A116" s="108" t="s">
        <v>644</v>
      </c>
      <c r="B116" s="106"/>
    </row>
    <row r="117" spans="1:2" x14ac:dyDescent="0.35">
      <c r="A117" s="108" t="s">
        <v>645</v>
      </c>
      <c r="B117" s="106"/>
    </row>
    <row r="118" spans="1:2" x14ac:dyDescent="0.35">
      <c r="A118" s="108" t="s">
        <v>646</v>
      </c>
      <c r="B118" s="106"/>
    </row>
    <row r="119" spans="1:2" x14ac:dyDescent="0.35">
      <c r="A119" s="108" t="s">
        <v>647</v>
      </c>
      <c r="B119" s="106"/>
    </row>
    <row r="120" spans="1:2" x14ac:dyDescent="0.35">
      <c r="A120" s="108" t="s">
        <v>648</v>
      </c>
      <c r="B120" s="106"/>
    </row>
    <row r="121" spans="1:2" x14ac:dyDescent="0.35">
      <c r="A121" s="108" t="s">
        <v>649</v>
      </c>
      <c r="B121" s="106"/>
    </row>
    <row r="122" spans="1:2" x14ac:dyDescent="0.35">
      <c r="A122" s="108" t="s">
        <v>650</v>
      </c>
      <c r="B122" s="106"/>
    </row>
    <row r="123" spans="1:2" x14ac:dyDescent="0.35">
      <c r="A123" s="108" t="s">
        <v>651</v>
      </c>
      <c r="B123" s="106"/>
    </row>
    <row r="124" spans="1:2" x14ac:dyDescent="0.35">
      <c r="A124" s="108" t="s">
        <v>652</v>
      </c>
      <c r="B124" s="106"/>
    </row>
    <row r="125" spans="1:2" x14ac:dyDescent="0.35">
      <c r="A125" s="108" t="s">
        <v>653</v>
      </c>
      <c r="B125" s="106"/>
    </row>
    <row r="126" spans="1:2" x14ac:dyDescent="0.35">
      <c r="A126" s="108" t="s">
        <v>654</v>
      </c>
      <c r="B126" s="106"/>
    </row>
    <row r="127" spans="1:2" x14ac:dyDescent="0.35">
      <c r="A127" s="108" t="s">
        <v>655</v>
      </c>
      <c r="B127" s="106"/>
    </row>
    <row r="128" spans="1:2" x14ac:dyDescent="0.35">
      <c r="A128" s="108" t="s">
        <v>656</v>
      </c>
      <c r="B128" s="106"/>
    </row>
    <row r="129" spans="1:2" x14ac:dyDescent="0.35">
      <c r="A129" s="108" t="s">
        <v>657</v>
      </c>
      <c r="B129" s="106"/>
    </row>
    <row r="130" spans="1:2" x14ac:dyDescent="0.35">
      <c r="A130" s="108" t="s">
        <v>658</v>
      </c>
      <c r="B130" s="106"/>
    </row>
    <row r="131" spans="1:2" x14ac:dyDescent="0.35">
      <c r="A131" s="108" t="s">
        <v>659</v>
      </c>
      <c r="B131" s="106"/>
    </row>
    <row r="132" spans="1:2" x14ac:dyDescent="0.35">
      <c r="A132" s="108" t="s">
        <v>660</v>
      </c>
      <c r="B132" s="106"/>
    </row>
    <row r="133" spans="1:2" x14ac:dyDescent="0.35">
      <c r="A133" s="108" t="s">
        <v>661</v>
      </c>
      <c r="B133" s="106"/>
    </row>
    <row r="134" spans="1:2" x14ac:dyDescent="0.35">
      <c r="A134" s="108" t="s">
        <v>662</v>
      </c>
      <c r="B134" s="106"/>
    </row>
    <row r="135" spans="1:2" x14ac:dyDescent="0.35">
      <c r="A135" s="108" t="s">
        <v>663</v>
      </c>
      <c r="B135" s="106"/>
    </row>
    <row r="136" spans="1:2" x14ac:dyDescent="0.35">
      <c r="A136" s="108" t="s">
        <v>664</v>
      </c>
      <c r="B136" s="106"/>
    </row>
    <row r="137" spans="1:2" x14ac:dyDescent="0.35">
      <c r="A137" s="108" t="s">
        <v>665</v>
      </c>
      <c r="B137" s="106"/>
    </row>
    <row r="138" spans="1:2" x14ac:dyDescent="0.35">
      <c r="A138" s="108" t="s">
        <v>666</v>
      </c>
      <c r="B138" s="106"/>
    </row>
    <row r="139" spans="1:2" x14ac:dyDescent="0.35">
      <c r="A139" s="108" t="s">
        <v>667</v>
      </c>
      <c r="B139" s="106"/>
    </row>
    <row r="140" spans="1:2" x14ac:dyDescent="0.35">
      <c r="A140" s="108" t="s">
        <v>668</v>
      </c>
      <c r="B140" s="106"/>
    </row>
    <row r="141" spans="1:2" x14ac:dyDescent="0.35">
      <c r="A141" s="108" t="s">
        <v>669</v>
      </c>
      <c r="B141" s="106"/>
    </row>
    <row r="142" spans="1:2" x14ac:dyDescent="0.35">
      <c r="A142" s="108" t="s">
        <v>670</v>
      </c>
      <c r="B142" s="106"/>
    </row>
    <row r="143" spans="1:2" x14ac:dyDescent="0.35">
      <c r="A143" s="108" t="s">
        <v>673</v>
      </c>
      <c r="B143" s="106"/>
    </row>
    <row r="144" spans="1:2" x14ac:dyDescent="0.35">
      <c r="A144" s="108" t="s">
        <v>674</v>
      </c>
      <c r="B144" s="106"/>
    </row>
    <row r="145" spans="1:2" x14ac:dyDescent="0.35">
      <c r="A145" s="108" t="s">
        <v>675</v>
      </c>
      <c r="B145" s="106"/>
    </row>
    <row r="146" spans="1:2" x14ac:dyDescent="0.35">
      <c r="A146" s="108" t="s">
        <v>676</v>
      </c>
      <c r="B146" s="106"/>
    </row>
    <row r="147" spans="1:2" x14ac:dyDescent="0.35">
      <c r="A147" s="108" t="s">
        <v>682</v>
      </c>
      <c r="B147" s="106"/>
    </row>
    <row r="148" spans="1:2" x14ac:dyDescent="0.35">
      <c r="A148" s="108" t="s">
        <v>683</v>
      </c>
      <c r="B148" s="106"/>
    </row>
    <row r="149" spans="1:2" x14ac:dyDescent="0.35">
      <c r="A149" s="108" t="s">
        <v>684</v>
      </c>
      <c r="B149" s="106"/>
    </row>
    <row r="150" spans="1:2" x14ac:dyDescent="0.35">
      <c r="B150" s="106"/>
    </row>
    <row r="151" spans="1:2" x14ac:dyDescent="0.35">
      <c r="B151" s="106"/>
    </row>
    <row r="152" spans="1:2" x14ac:dyDescent="0.35">
      <c r="B152" s="106"/>
    </row>
    <row r="153" spans="1:2" x14ac:dyDescent="0.35">
      <c r="B153" s="106"/>
    </row>
    <row r="154" spans="1:2" x14ac:dyDescent="0.35">
      <c r="B154" s="106"/>
    </row>
    <row r="155" spans="1:2" x14ac:dyDescent="0.35">
      <c r="B155" s="106"/>
    </row>
    <row r="156" spans="1:2" x14ac:dyDescent="0.35">
      <c r="B156" s="106"/>
    </row>
    <row r="157" spans="1:2" x14ac:dyDescent="0.35">
      <c r="B157" s="106"/>
    </row>
    <row r="158" spans="1:2" x14ac:dyDescent="0.35">
      <c r="B158" s="106"/>
    </row>
    <row r="159" spans="1:2" x14ac:dyDescent="0.35">
      <c r="B159" s="106"/>
    </row>
    <row r="160" spans="1:2" x14ac:dyDescent="0.35">
      <c r="B160" s="106"/>
    </row>
    <row r="161" spans="2:2" x14ac:dyDescent="0.35">
      <c r="B161" s="106"/>
    </row>
    <row r="162" spans="2:2" x14ac:dyDescent="0.35">
      <c r="B162" s="106"/>
    </row>
    <row r="163" spans="2:2" x14ac:dyDescent="0.35">
      <c r="B163" s="106"/>
    </row>
    <row r="164" spans="2:2" x14ac:dyDescent="0.35">
      <c r="B164" s="106"/>
    </row>
    <row r="165" spans="2:2" x14ac:dyDescent="0.35">
      <c r="B165" s="106"/>
    </row>
    <row r="166" spans="2:2" x14ac:dyDescent="0.35">
      <c r="B166" s="106"/>
    </row>
    <row r="167" spans="2:2" x14ac:dyDescent="0.35">
      <c r="B167" s="106"/>
    </row>
    <row r="168" spans="2:2" x14ac:dyDescent="0.35">
      <c r="B168" s="106"/>
    </row>
    <row r="169" spans="2:2" x14ac:dyDescent="0.35">
      <c r="B169" s="106"/>
    </row>
    <row r="170" spans="2:2" x14ac:dyDescent="0.35">
      <c r="B170" s="106"/>
    </row>
    <row r="171" spans="2:2" x14ac:dyDescent="0.35">
      <c r="B171" s="106"/>
    </row>
    <row r="172" spans="2:2" x14ac:dyDescent="0.35">
      <c r="B172" s="106"/>
    </row>
    <row r="173" spans="2:2" x14ac:dyDescent="0.35">
      <c r="B173" s="106"/>
    </row>
    <row r="174" spans="2:2" x14ac:dyDescent="0.35">
      <c r="B174" s="106"/>
    </row>
    <row r="175" spans="2:2" x14ac:dyDescent="0.35">
      <c r="B175" s="106"/>
    </row>
    <row r="176" spans="2:2" x14ac:dyDescent="0.35">
      <c r="B176" s="106"/>
    </row>
    <row r="177" spans="2:2" x14ac:dyDescent="0.35">
      <c r="B177" s="106"/>
    </row>
    <row r="178" spans="2:2" x14ac:dyDescent="0.35">
      <c r="B178" s="106"/>
    </row>
    <row r="179" spans="2:2" x14ac:dyDescent="0.35">
      <c r="B179" s="106"/>
    </row>
    <row r="180" spans="2:2" x14ac:dyDescent="0.35">
      <c r="B180" s="106"/>
    </row>
    <row r="181" spans="2:2" x14ac:dyDescent="0.35">
      <c r="B181" s="106"/>
    </row>
    <row r="182" spans="2:2" x14ac:dyDescent="0.35">
      <c r="B182" s="106"/>
    </row>
    <row r="183" spans="2:2" x14ac:dyDescent="0.35">
      <c r="B183" s="106"/>
    </row>
    <row r="184" spans="2:2" x14ac:dyDescent="0.35">
      <c r="B184" s="106"/>
    </row>
    <row r="185" spans="2:2" x14ac:dyDescent="0.35">
      <c r="B185" s="106"/>
    </row>
    <row r="186" spans="2:2" x14ac:dyDescent="0.35">
      <c r="B186" s="106"/>
    </row>
    <row r="187" spans="2:2" x14ac:dyDescent="0.35">
      <c r="B187" s="106"/>
    </row>
    <row r="188" spans="2:2" x14ac:dyDescent="0.35">
      <c r="B188" s="106"/>
    </row>
    <row r="189" spans="2:2" x14ac:dyDescent="0.35">
      <c r="B189" s="106"/>
    </row>
    <row r="190" spans="2:2" x14ac:dyDescent="0.35">
      <c r="B190" s="106"/>
    </row>
    <row r="191" spans="2:2" x14ac:dyDescent="0.35">
      <c r="B191" s="106"/>
    </row>
    <row r="192" spans="2:2" x14ac:dyDescent="0.35">
      <c r="B192" s="106"/>
    </row>
    <row r="193" spans="2:2" x14ac:dyDescent="0.35">
      <c r="B193" s="106"/>
    </row>
    <row r="194" spans="2:2" x14ac:dyDescent="0.35">
      <c r="B194" s="106"/>
    </row>
    <row r="195" spans="2:2" x14ac:dyDescent="0.35">
      <c r="B195" s="106"/>
    </row>
    <row r="196" spans="2:2" x14ac:dyDescent="0.35">
      <c r="B196" s="106"/>
    </row>
    <row r="197" spans="2:2" x14ac:dyDescent="0.35">
      <c r="B197" s="106"/>
    </row>
    <row r="198" spans="2:2" x14ac:dyDescent="0.35">
      <c r="B198" s="106"/>
    </row>
    <row r="199" spans="2:2" x14ac:dyDescent="0.35">
      <c r="B199" s="106"/>
    </row>
    <row r="200" spans="2:2" x14ac:dyDescent="0.35">
      <c r="B200" s="106"/>
    </row>
    <row r="201" spans="2:2" x14ac:dyDescent="0.35">
      <c r="B201" s="106"/>
    </row>
    <row r="202" spans="2:2" x14ac:dyDescent="0.35">
      <c r="B202" s="106"/>
    </row>
    <row r="203" spans="2:2" x14ac:dyDescent="0.35">
      <c r="B203" s="106"/>
    </row>
    <row r="204" spans="2:2" x14ac:dyDescent="0.35">
      <c r="B204" s="106"/>
    </row>
    <row r="205" spans="2:2" x14ac:dyDescent="0.35">
      <c r="B205" s="106"/>
    </row>
    <row r="206" spans="2:2" x14ac:dyDescent="0.35">
      <c r="B206" s="106"/>
    </row>
    <row r="207" spans="2:2" x14ac:dyDescent="0.35">
      <c r="B207" s="106"/>
    </row>
    <row r="208" spans="2:2" x14ac:dyDescent="0.35">
      <c r="B208" s="106"/>
    </row>
    <row r="209" spans="2:2" x14ac:dyDescent="0.35">
      <c r="B209" s="106"/>
    </row>
    <row r="210" spans="2:2" x14ac:dyDescent="0.35">
      <c r="B210" s="106"/>
    </row>
    <row r="211" spans="2:2" x14ac:dyDescent="0.35">
      <c r="B211" s="106"/>
    </row>
    <row r="212" spans="2:2" x14ac:dyDescent="0.35">
      <c r="B212" s="106"/>
    </row>
    <row r="213" spans="2:2" x14ac:dyDescent="0.35">
      <c r="B213" s="106"/>
    </row>
    <row r="214" spans="2:2" x14ac:dyDescent="0.35">
      <c r="B214" s="106"/>
    </row>
    <row r="215" spans="2:2" x14ac:dyDescent="0.35">
      <c r="B215" s="106"/>
    </row>
    <row r="216" spans="2:2" x14ac:dyDescent="0.35">
      <c r="B216" s="106"/>
    </row>
    <row r="217" spans="2:2" x14ac:dyDescent="0.35">
      <c r="B217" s="106"/>
    </row>
    <row r="218" spans="2:2" x14ac:dyDescent="0.35">
      <c r="B218" s="106"/>
    </row>
    <row r="219" spans="2:2" x14ac:dyDescent="0.35">
      <c r="B219" s="106"/>
    </row>
    <row r="220" spans="2:2" x14ac:dyDescent="0.35">
      <c r="B220" s="106"/>
    </row>
    <row r="221" spans="2:2" x14ac:dyDescent="0.35">
      <c r="B221" s="106"/>
    </row>
    <row r="222" spans="2:2" x14ac:dyDescent="0.35">
      <c r="B222" s="106"/>
    </row>
    <row r="223" spans="2:2" x14ac:dyDescent="0.35">
      <c r="B223" s="106"/>
    </row>
    <row r="224" spans="2:2" x14ac:dyDescent="0.35">
      <c r="B224" s="106"/>
    </row>
    <row r="225" spans="2:2" x14ac:dyDescent="0.35">
      <c r="B225" s="106"/>
    </row>
    <row r="226" spans="2:2" x14ac:dyDescent="0.35">
      <c r="B226" s="106"/>
    </row>
    <row r="227" spans="2:2" x14ac:dyDescent="0.35">
      <c r="B227" s="106"/>
    </row>
    <row r="228" spans="2:2" x14ac:dyDescent="0.35">
      <c r="B228" s="106"/>
    </row>
    <row r="229" spans="2:2" x14ac:dyDescent="0.35">
      <c r="B229" s="106"/>
    </row>
    <row r="230" spans="2:2" x14ac:dyDescent="0.35">
      <c r="B230" s="106"/>
    </row>
    <row r="231" spans="2:2" x14ac:dyDescent="0.35">
      <c r="B231" s="106"/>
    </row>
    <row r="232" spans="2:2" x14ac:dyDescent="0.35">
      <c r="B232" s="106"/>
    </row>
    <row r="233" spans="2:2" x14ac:dyDescent="0.35">
      <c r="B233" s="106"/>
    </row>
    <row r="234" spans="2:2" x14ac:dyDescent="0.35">
      <c r="B234" s="106"/>
    </row>
    <row r="235" spans="2:2" x14ac:dyDescent="0.35">
      <c r="B235" s="106"/>
    </row>
    <row r="236" spans="2:2" x14ac:dyDescent="0.35">
      <c r="B236" s="106"/>
    </row>
    <row r="237" spans="2:2" x14ac:dyDescent="0.35">
      <c r="B237" s="106"/>
    </row>
    <row r="238" spans="2:2" x14ac:dyDescent="0.35">
      <c r="B238" s="106"/>
    </row>
    <row r="239" spans="2:2" x14ac:dyDescent="0.35">
      <c r="B239" s="106"/>
    </row>
    <row r="240" spans="2:2" x14ac:dyDescent="0.35">
      <c r="B240" s="106"/>
    </row>
    <row r="241" spans="2:2" x14ac:dyDescent="0.35">
      <c r="B241" s="106"/>
    </row>
    <row r="242" spans="2:2" x14ac:dyDescent="0.35">
      <c r="B242" s="106"/>
    </row>
    <row r="243" spans="2:2" x14ac:dyDescent="0.35">
      <c r="B243" s="106"/>
    </row>
    <row r="244" spans="2:2" x14ac:dyDescent="0.35">
      <c r="B244" s="106"/>
    </row>
    <row r="245" spans="2:2" x14ac:dyDescent="0.35">
      <c r="B245" s="106"/>
    </row>
    <row r="246" spans="2:2" x14ac:dyDescent="0.35">
      <c r="B246" s="106"/>
    </row>
    <row r="247" spans="2:2" x14ac:dyDescent="0.35">
      <c r="B247" s="106"/>
    </row>
    <row r="248" spans="2:2" x14ac:dyDescent="0.35">
      <c r="B248" s="106"/>
    </row>
    <row r="249" spans="2:2" x14ac:dyDescent="0.35">
      <c r="B249" s="106"/>
    </row>
    <row r="250" spans="2:2" x14ac:dyDescent="0.35">
      <c r="B250" s="106"/>
    </row>
    <row r="251" spans="2:2" x14ac:dyDescent="0.35">
      <c r="B251" s="106"/>
    </row>
    <row r="252" spans="2:2" x14ac:dyDescent="0.35">
      <c r="B252" s="106"/>
    </row>
    <row r="253" spans="2:2" x14ac:dyDescent="0.35">
      <c r="B253" s="106"/>
    </row>
    <row r="254" spans="2:2" x14ac:dyDescent="0.35">
      <c r="B254" s="106"/>
    </row>
    <row r="255" spans="2:2" x14ac:dyDescent="0.35">
      <c r="B255" s="106"/>
    </row>
    <row r="256" spans="2:2" x14ac:dyDescent="0.35">
      <c r="B256" s="106"/>
    </row>
    <row r="257" spans="2:2" x14ac:dyDescent="0.35">
      <c r="B257" s="106"/>
    </row>
    <row r="258" spans="2:2" x14ac:dyDescent="0.35">
      <c r="B258" s="106"/>
    </row>
    <row r="259" spans="2:2" x14ac:dyDescent="0.35">
      <c r="B259" s="106"/>
    </row>
    <row r="260" spans="2:2" x14ac:dyDescent="0.35">
      <c r="B260" s="106"/>
    </row>
    <row r="261" spans="2:2" x14ac:dyDescent="0.35">
      <c r="B261" s="106"/>
    </row>
    <row r="262" spans="2:2" x14ac:dyDescent="0.35">
      <c r="B262" s="106"/>
    </row>
    <row r="263" spans="2:2" x14ac:dyDescent="0.35">
      <c r="B263" s="106"/>
    </row>
    <row r="264" spans="2:2" x14ac:dyDescent="0.35">
      <c r="B264" s="106"/>
    </row>
    <row r="265" spans="2:2" x14ac:dyDescent="0.35">
      <c r="B265" s="106"/>
    </row>
    <row r="266" spans="2:2" x14ac:dyDescent="0.35">
      <c r="B266" s="106"/>
    </row>
    <row r="267" spans="2:2" x14ac:dyDescent="0.35">
      <c r="B267" s="106"/>
    </row>
    <row r="268" spans="2:2" x14ac:dyDescent="0.35">
      <c r="B268" s="106"/>
    </row>
    <row r="269" spans="2:2" x14ac:dyDescent="0.35">
      <c r="B269" s="106"/>
    </row>
    <row r="270" spans="2:2" x14ac:dyDescent="0.35">
      <c r="B270" s="106"/>
    </row>
    <row r="271" spans="2:2" x14ac:dyDescent="0.35">
      <c r="B271" s="106"/>
    </row>
    <row r="272" spans="2:2" x14ac:dyDescent="0.35">
      <c r="B272" s="106"/>
    </row>
    <row r="273" spans="2:2" x14ac:dyDescent="0.35">
      <c r="B273" s="106"/>
    </row>
    <row r="274" spans="2:2" x14ac:dyDescent="0.35">
      <c r="B274" s="106"/>
    </row>
    <row r="275" spans="2:2" x14ac:dyDescent="0.35">
      <c r="B275" s="106"/>
    </row>
    <row r="276" spans="2:2" x14ac:dyDescent="0.35">
      <c r="B276" s="106"/>
    </row>
    <row r="277" spans="2:2" x14ac:dyDescent="0.35">
      <c r="B277" s="106"/>
    </row>
    <row r="278" spans="2:2" x14ac:dyDescent="0.35">
      <c r="B278" s="106"/>
    </row>
    <row r="279" spans="2:2" x14ac:dyDescent="0.35">
      <c r="B279" s="106"/>
    </row>
    <row r="280" spans="2:2" x14ac:dyDescent="0.35">
      <c r="B280" s="106"/>
    </row>
    <row r="281" spans="2:2" x14ac:dyDescent="0.35">
      <c r="B281" s="106"/>
    </row>
    <row r="282" spans="2:2" x14ac:dyDescent="0.35">
      <c r="B282" s="106"/>
    </row>
    <row r="283" spans="2:2" x14ac:dyDescent="0.35">
      <c r="B283" s="106"/>
    </row>
    <row r="284" spans="2:2" x14ac:dyDescent="0.35">
      <c r="B284" s="106"/>
    </row>
    <row r="285" spans="2:2" x14ac:dyDescent="0.35">
      <c r="B285" s="106"/>
    </row>
    <row r="286" spans="2:2" x14ac:dyDescent="0.35">
      <c r="B286" s="106"/>
    </row>
    <row r="287" spans="2:2" x14ac:dyDescent="0.35">
      <c r="B287" s="106"/>
    </row>
    <row r="288" spans="2:2" x14ac:dyDescent="0.35">
      <c r="B288" s="106"/>
    </row>
    <row r="289" spans="2:2" x14ac:dyDescent="0.35">
      <c r="B289" s="106"/>
    </row>
    <row r="290" spans="2:2" x14ac:dyDescent="0.35">
      <c r="B290" s="106"/>
    </row>
    <row r="291" spans="2:2" x14ac:dyDescent="0.35">
      <c r="B291" s="106"/>
    </row>
    <row r="292" spans="2:2" x14ac:dyDescent="0.35">
      <c r="B292" s="106"/>
    </row>
    <row r="293" spans="2:2" x14ac:dyDescent="0.35">
      <c r="B293" s="106"/>
    </row>
    <row r="294" spans="2:2" x14ac:dyDescent="0.35">
      <c r="B294" s="106"/>
    </row>
    <row r="295" spans="2:2" x14ac:dyDescent="0.35">
      <c r="B295" s="106"/>
    </row>
    <row r="296" spans="2:2" x14ac:dyDescent="0.35">
      <c r="B296" s="106"/>
    </row>
    <row r="297" spans="2:2" x14ac:dyDescent="0.35">
      <c r="B297" s="106"/>
    </row>
    <row r="298" spans="2:2" x14ac:dyDescent="0.35">
      <c r="B298" s="106"/>
    </row>
    <row r="299" spans="2:2" x14ac:dyDescent="0.35">
      <c r="B299" s="106"/>
    </row>
    <row r="300" spans="2:2" x14ac:dyDescent="0.35">
      <c r="B300" s="106"/>
    </row>
    <row r="301" spans="2:2" x14ac:dyDescent="0.35">
      <c r="B301" s="106"/>
    </row>
    <row r="302" spans="2:2" x14ac:dyDescent="0.35">
      <c r="B302" s="106"/>
    </row>
    <row r="303" spans="2:2" x14ac:dyDescent="0.35">
      <c r="B303" s="106"/>
    </row>
    <row r="304" spans="2:2" x14ac:dyDescent="0.35">
      <c r="B304" s="106"/>
    </row>
    <row r="305" spans="2:2" x14ac:dyDescent="0.35">
      <c r="B305" s="106"/>
    </row>
    <row r="306" spans="2:2" x14ac:dyDescent="0.35">
      <c r="B306" s="106"/>
    </row>
    <row r="307" spans="2:2" x14ac:dyDescent="0.35">
      <c r="B307" s="106"/>
    </row>
    <row r="308" spans="2:2" x14ac:dyDescent="0.35">
      <c r="B308" s="106"/>
    </row>
    <row r="309" spans="2:2" x14ac:dyDescent="0.35">
      <c r="B309" s="106"/>
    </row>
    <row r="310" spans="2:2" x14ac:dyDescent="0.35">
      <c r="B310" s="106"/>
    </row>
    <row r="311" spans="2:2" x14ac:dyDescent="0.35">
      <c r="B311" s="106"/>
    </row>
    <row r="312" spans="2:2" x14ac:dyDescent="0.35">
      <c r="B312" s="106"/>
    </row>
    <row r="313" spans="2:2" x14ac:dyDescent="0.35">
      <c r="B313" s="106"/>
    </row>
    <row r="314" spans="2:2" x14ac:dyDescent="0.35">
      <c r="B314" s="106"/>
    </row>
    <row r="315" spans="2:2" x14ac:dyDescent="0.35">
      <c r="B315" s="106"/>
    </row>
    <row r="316" spans="2:2" x14ac:dyDescent="0.35">
      <c r="B316" s="106"/>
    </row>
    <row r="317" spans="2:2" x14ac:dyDescent="0.35">
      <c r="B317" s="106"/>
    </row>
    <row r="318" spans="2:2" x14ac:dyDescent="0.35">
      <c r="B318" s="106"/>
    </row>
    <row r="319" spans="2:2" x14ac:dyDescent="0.35">
      <c r="B319" s="106"/>
    </row>
    <row r="320" spans="2:2" x14ac:dyDescent="0.35">
      <c r="B320" s="106"/>
    </row>
    <row r="321" spans="2:2" x14ac:dyDescent="0.35">
      <c r="B321" s="106"/>
    </row>
    <row r="322" spans="2:2" x14ac:dyDescent="0.35">
      <c r="B322" s="106"/>
    </row>
    <row r="323" spans="2:2" x14ac:dyDescent="0.35">
      <c r="B323" s="106"/>
    </row>
    <row r="324" spans="2:2" x14ac:dyDescent="0.35">
      <c r="B324" s="106"/>
    </row>
    <row r="325" spans="2:2" x14ac:dyDescent="0.35">
      <c r="B325" s="106"/>
    </row>
    <row r="326" spans="2:2" x14ac:dyDescent="0.35">
      <c r="B326" s="106"/>
    </row>
    <row r="327" spans="2:2" x14ac:dyDescent="0.35">
      <c r="B327" s="106"/>
    </row>
    <row r="328" spans="2:2" x14ac:dyDescent="0.35">
      <c r="B328" s="106"/>
    </row>
    <row r="329" spans="2:2" x14ac:dyDescent="0.35">
      <c r="B329" s="106"/>
    </row>
    <row r="330" spans="2:2" x14ac:dyDescent="0.35">
      <c r="B330" s="106"/>
    </row>
    <row r="331" spans="2:2" x14ac:dyDescent="0.35">
      <c r="B331" s="106"/>
    </row>
    <row r="332" spans="2:2" x14ac:dyDescent="0.35">
      <c r="B332" s="106"/>
    </row>
    <row r="333" spans="2:2" x14ac:dyDescent="0.35">
      <c r="B333" s="106"/>
    </row>
    <row r="334" spans="2:2" x14ac:dyDescent="0.35">
      <c r="B334" s="106"/>
    </row>
    <row r="335" spans="2:2" x14ac:dyDescent="0.35">
      <c r="B335" s="106"/>
    </row>
    <row r="336" spans="2:2" x14ac:dyDescent="0.35">
      <c r="B336" s="106"/>
    </row>
    <row r="337" spans="2:2" x14ac:dyDescent="0.35">
      <c r="B337" s="106"/>
    </row>
    <row r="338" spans="2:2" x14ac:dyDescent="0.35">
      <c r="B338" s="106"/>
    </row>
    <row r="339" spans="2:2" x14ac:dyDescent="0.35">
      <c r="B339" s="106"/>
    </row>
    <row r="340" spans="2:2" x14ac:dyDescent="0.35">
      <c r="B340" s="106"/>
    </row>
    <row r="341" spans="2:2" x14ac:dyDescent="0.35">
      <c r="B341" s="106"/>
    </row>
    <row r="342" spans="2:2" x14ac:dyDescent="0.35">
      <c r="B342" s="106"/>
    </row>
    <row r="343" spans="2:2" x14ac:dyDescent="0.35">
      <c r="B343" s="106"/>
    </row>
    <row r="344" spans="2:2" x14ac:dyDescent="0.35">
      <c r="B344" s="106"/>
    </row>
    <row r="345" spans="2:2" x14ac:dyDescent="0.35">
      <c r="B345" s="106"/>
    </row>
    <row r="346" spans="2:2" x14ac:dyDescent="0.35">
      <c r="B346" s="106"/>
    </row>
    <row r="347" spans="2:2" x14ac:dyDescent="0.35">
      <c r="B347" s="106"/>
    </row>
    <row r="348" spans="2:2" x14ac:dyDescent="0.35">
      <c r="B348" s="106"/>
    </row>
    <row r="349" spans="2:2" x14ac:dyDescent="0.35">
      <c r="B349" s="106"/>
    </row>
    <row r="350" spans="2:2" x14ac:dyDescent="0.35">
      <c r="B350" s="106"/>
    </row>
    <row r="351" spans="2:2" x14ac:dyDescent="0.35">
      <c r="B351" s="106"/>
    </row>
    <row r="352" spans="2:2" x14ac:dyDescent="0.35">
      <c r="B352" s="106"/>
    </row>
    <row r="353" spans="2:2" x14ac:dyDescent="0.35">
      <c r="B353" s="106"/>
    </row>
    <row r="354" spans="2:2" x14ac:dyDescent="0.35">
      <c r="B354" s="106"/>
    </row>
    <row r="355" spans="2:2" x14ac:dyDescent="0.35">
      <c r="B355" s="106"/>
    </row>
    <row r="356" spans="2:2" x14ac:dyDescent="0.35">
      <c r="B356" s="106"/>
    </row>
    <row r="357" spans="2:2" x14ac:dyDescent="0.35">
      <c r="B357" s="106"/>
    </row>
    <row r="358" spans="2:2" x14ac:dyDescent="0.35">
      <c r="B358" s="106"/>
    </row>
    <row r="359" spans="2:2" x14ac:dyDescent="0.35">
      <c r="B359" s="106"/>
    </row>
    <row r="360" spans="2:2" x14ac:dyDescent="0.35">
      <c r="B360" s="106"/>
    </row>
    <row r="361" spans="2:2" x14ac:dyDescent="0.35">
      <c r="B361" s="106"/>
    </row>
    <row r="362" spans="2:2" x14ac:dyDescent="0.35">
      <c r="B362" s="106"/>
    </row>
    <row r="363" spans="2:2" x14ac:dyDescent="0.35">
      <c r="B363" s="106"/>
    </row>
    <row r="364" spans="2:2" x14ac:dyDescent="0.35">
      <c r="B364" s="106"/>
    </row>
    <row r="365" spans="2:2" x14ac:dyDescent="0.35">
      <c r="B365" s="106"/>
    </row>
  </sheetData>
  <dataValidations count="1">
    <dataValidation type="list" allowBlank="1" showInputMessage="1" showErrorMessage="1" sqref="B2:B365" xr:uid="{F4C6D69D-90DB-4050-89AF-52253B4071CB}">
      <formula1>$F$2:$F$6</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C9AF5-7FF4-49CF-A265-E1AA9D336C9E}">
  <sheetPr codeName="Sheet24"/>
  <dimension ref="A1:D55"/>
  <sheetViews>
    <sheetView workbookViewId="0">
      <selection sqref="A1:XFD1048576"/>
    </sheetView>
  </sheetViews>
  <sheetFormatPr defaultRowHeight="14.4" x14ac:dyDescent="0.35"/>
  <cols>
    <col min="1" max="1" width="10.33203125" bestFit="1" customWidth="1"/>
    <col min="2" max="2" width="16.88671875" bestFit="1" customWidth="1"/>
    <col min="3" max="3" width="11" bestFit="1" customWidth="1"/>
    <col min="4" max="4" width="13" bestFit="1" customWidth="1"/>
    <col min="5" max="5" width="12.5546875" bestFit="1" customWidth="1"/>
  </cols>
  <sheetData>
    <row r="1" spans="1:4" x14ac:dyDescent="0.35">
      <c r="A1" t="s">
        <v>530</v>
      </c>
      <c r="B1" t="s">
        <v>531</v>
      </c>
      <c r="C1" t="s">
        <v>532</v>
      </c>
      <c r="D1" t="s">
        <v>533</v>
      </c>
    </row>
    <row r="2" spans="1:4" x14ac:dyDescent="0.35">
      <c r="A2" s="3">
        <v>45755</v>
      </c>
      <c r="B2">
        <v>0</v>
      </c>
      <c r="C2">
        <v>1</v>
      </c>
      <c r="D2">
        <v>1</v>
      </c>
    </row>
    <row r="3" spans="1:4" x14ac:dyDescent="0.35">
      <c r="A3" s="3">
        <v>45756</v>
      </c>
      <c r="B3">
        <v>0</v>
      </c>
      <c r="C3">
        <v>10</v>
      </c>
      <c r="D3">
        <v>10</v>
      </c>
    </row>
    <row r="4" spans="1:4" x14ac:dyDescent="0.35">
      <c r="A4" s="3">
        <v>45757</v>
      </c>
      <c r="B4">
        <v>0</v>
      </c>
      <c r="C4">
        <v>5</v>
      </c>
      <c r="D4">
        <v>5</v>
      </c>
    </row>
    <row r="5" spans="1:4" x14ac:dyDescent="0.35">
      <c r="A5" s="3">
        <v>45758</v>
      </c>
      <c r="B5">
        <v>0</v>
      </c>
      <c r="C5">
        <v>4</v>
      </c>
      <c r="D5">
        <v>4</v>
      </c>
    </row>
    <row r="6" spans="1:4" x14ac:dyDescent="0.35">
      <c r="A6" s="3">
        <v>45761</v>
      </c>
      <c r="B6">
        <v>0</v>
      </c>
      <c r="C6">
        <v>3</v>
      </c>
      <c r="D6">
        <v>3</v>
      </c>
    </row>
    <row r="7" spans="1:4" x14ac:dyDescent="0.35">
      <c r="A7" s="3">
        <v>45763</v>
      </c>
      <c r="B7">
        <v>0</v>
      </c>
      <c r="C7">
        <v>5</v>
      </c>
      <c r="D7">
        <v>5</v>
      </c>
    </row>
    <row r="8" spans="1:4" x14ac:dyDescent="0.35">
      <c r="A8" s="3">
        <v>45764</v>
      </c>
      <c r="B8">
        <v>0</v>
      </c>
      <c r="C8">
        <v>1</v>
      </c>
      <c r="D8">
        <v>1</v>
      </c>
    </row>
    <row r="9" spans="1:4" x14ac:dyDescent="0.35">
      <c r="A9" s="3">
        <v>45765</v>
      </c>
      <c r="B9">
        <v>0</v>
      </c>
      <c r="C9">
        <v>1</v>
      </c>
      <c r="D9">
        <v>1</v>
      </c>
    </row>
    <row r="10" spans="1:4" x14ac:dyDescent="0.35">
      <c r="A10" s="3">
        <v>45768</v>
      </c>
      <c r="B10">
        <v>0</v>
      </c>
      <c r="C10">
        <v>1</v>
      </c>
      <c r="D10">
        <v>1</v>
      </c>
    </row>
    <row r="11" spans="1:4" x14ac:dyDescent="0.35">
      <c r="A11" s="3">
        <v>45769</v>
      </c>
      <c r="B11">
        <v>0</v>
      </c>
      <c r="C11">
        <v>2</v>
      </c>
      <c r="D11">
        <v>2</v>
      </c>
    </row>
    <row r="12" spans="1:4" x14ac:dyDescent="0.35">
      <c r="A12" s="3">
        <v>45770</v>
      </c>
      <c r="B12">
        <v>0</v>
      </c>
      <c r="C12">
        <v>3</v>
      </c>
      <c r="D12">
        <v>3</v>
      </c>
    </row>
    <row r="13" spans="1:4" x14ac:dyDescent="0.35">
      <c r="A13" s="3">
        <v>45771</v>
      </c>
      <c r="B13">
        <v>0</v>
      </c>
      <c r="C13">
        <v>3</v>
      </c>
      <c r="D13">
        <v>3</v>
      </c>
    </row>
    <row r="14" spans="1:4" x14ac:dyDescent="0.35">
      <c r="A14" s="3">
        <v>45772</v>
      </c>
      <c r="B14">
        <v>0</v>
      </c>
      <c r="C14">
        <v>6</v>
      </c>
      <c r="D14">
        <v>6</v>
      </c>
    </row>
    <row r="15" spans="1:4" x14ac:dyDescent="0.35">
      <c r="A15" s="3">
        <v>45775</v>
      </c>
      <c r="B15">
        <v>0</v>
      </c>
      <c r="C15">
        <v>3</v>
      </c>
      <c r="D15">
        <v>3</v>
      </c>
    </row>
    <row r="16" spans="1:4" x14ac:dyDescent="0.35">
      <c r="A16" s="3">
        <v>45776</v>
      </c>
      <c r="B16">
        <v>0</v>
      </c>
      <c r="C16">
        <v>2</v>
      </c>
      <c r="D16">
        <v>2</v>
      </c>
    </row>
    <row r="17" spans="1:4" x14ac:dyDescent="0.35">
      <c r="A17" s="3">
        <v>45777</v>
      </c>
      <c r="B17">
        <v>0</v>
      </c>
      <c r="C17">
        <v>2</v>
      </c>
      <c r="D17">
        <v>2</v>
      </c>
    </row>
    <row r="18" spans="1:4" x14ac:dyDescent="0.35">
      <c r="A18" s="3">
        <v>45779</v>
      </c>
      <c r="B18">
        <v>0</v>
      </c>
      <c r="C18">
        <v>1</v>
      </c>
      <c r="D18">
        <v>1</v>
      </c>
    </row>
    <row r="19" spans="1:4" x14ac:dyDescent="0.35">
      <c r="A19" s="3">
        <v>45782</v>
      </c>
      <c r="B19">
        <v>0</v>
      </c>
      <c r="C19">
        <v>2</v>
      </c>
      <c r="D19">
        <v>2</v>
      </c>
    </row>
    <row r="20" spans="1:4" x14ac:dyDescent="0.35">
      <c r="A20" s="3">
        <v>45783</v>
      </c>
      <c r="B20">
        <v>0</v>
      </c>
      <c r="C20">
        <v>4</v>
      </c>
      <c r="D20">
        <v>4</v>
      </c>
    </row>
    <row r="21" spans="1:4" x14ac:dyDescent="0.35">
      <c r="A21" s="3">
        <v>45784</v>
      </c>
      <c r="B21">
        <v>0</v>
      </c>
      <c r="C21">
        <v>2</v>
      </c>
      <c r="D21">
        <v>2</v>
      </c>
    </row>
    <row r="22" spans="1:4" x14ac:dyDescent="0.35">
      <c r="A22" s="3">
        <v>45785</v>
      </c>
      <c r="B22">
        <v>0</v>
      </c>
      <c r="C22">
        <v>2</v>
      </c>
      <c r="D22">
        <v>2</v>
      </c>
    </row>
    <row r="23" spans="1:4" x14ac:dyDescent="0.35">
      <c r="A23" s="3">
        <v>45789</v>
      </c>
      <c r="B23">
        <v>0</v>
      </c>
      <c r="C23">
        <v>1</v>
      </c>
      <c r="D23">
        <v>1</v>
      </c>
    </row>
    <row r="24" spans="1:4" x14ac:dyDescent="0.35">
      <c r="A24" s="3">
        <v>45790</v>
      </c>
      <c r="B24">
        <v>0</v>
      </c>
      <c r="C24">
        <v>5</v>
      </c>
      <c r="D24">
        <v>5</v>
      </c>
    </row>
    <row r="25" spans="1:4" x14ac:dyDescent="0.35">
      <c r="A25" s="3">
        <v>45791</v>
      </c>
      <c r="B25">
        <v>0</v>
      </c>
      <c r="C25">
        <v>2</v>
      </c>
      <c r="D25">
        <v>2</v>
      </c>
    </row>
    <row r="26" spans="1:4" x14ac:dyDescent="0.35">
      <c r="A26" s="3">
        <v>45792</v>
      </c>
      <c r="B26">
        <v>0</v>
      </c>
      <c r="C26">
        <v>3</v>
      </c>
      <c r="D26">
        <v>3</v>
      </c>
    </row>
    <row r="27" spans="1:4" x14ac:dyDescent="0.35">
      <c r="A27" s="3">
        <v>45793</v>
      </c>
      <c r="B27">
        <v>0</v>
      </c>
      <c r="C27">
        <v>1</v>
      </c>
      <c r="D27">
        <v>1</v>
      </c>
    </row>
    <row r="28" spans="1:4" x14ac:dyDescent="0.35">
      <c r="A28" s="3">
        <v>45796</v>
      </c>
      <c r="B28">
        <v>0</v>
      </c>
      <c r="C28">
        <v>1</v>
      </c>
      <c r="D28">
        <v>1</v>
      </c>
    </row>
    <row r="29" spans="1:4" x14ac:dyDescent="0.35">
      <c r="A29" s="3">
        <v>45797</v>
      </c>
      <c r="B29">
        <v>0</v>
      </c>
      <c r="C29">
        <v>4</v>
      </c>
      <c r="D29">
        <v>4</v>
      </c>
    </row>
    <row r="30" spans="1:4" x14ac:dyDescent="0.35">
      <c r="A30" s="3">
        <v>45798</v>
      </c>
      <c r="B30">
        <v>0</v>
      </c>
      <c r="C30">
        <v>3</v>
      </c>
      <c r="D30">
        <v>3</v>
      </c>
    </row>
    <row r="31" spans="1:4" x14ac:dyDescent="0.35">
      <c r="A31" s="3">
        <v>45799</v>
      </c>
      <c r="B31">
        <v>0</v>
      </c>
      <c r="C31">
        <v>4</v>
      </c>
      <c r="D31">
        <v>4</v>
      </c>
    </row>
    <row r="32" spans="1:4" x14ac:dyDescent="0.35">
      <c r="A32" s="3">
        <v>45800</v>
      </c>
      <c r="B32">
        <v>0</v>
      </c>
      <c r="C32">
        <v>2</v>
      </c>
      <c r="D32">
        <v>2</v>
      </c>
    </row>
    <row r="33" spans="1:4" x14ac:dyDescent="0.35">
      <c r="A33" s="3">
        <v>45803</v>
      </c>
      <c r="B33">
        <v>0</v>
      </c>
      <c r="C33">
        <v>1</v>
      </c>
      <c r="D33">
        <v>1</v>
      </c>
    </row>
    <row r="34" spans="1:4" x14ac:dyDescent="0.35">
      <c r="A34" s="3">
        <v>45804</v>
      </c>
      <c r="B34">
        <v>0</v>
      </c>
      <c r="C34">
        <v>3</v>
      </c>
      <c r="D34">
        <v>3</v>
      </c>
    </row>
    <row r="35" spans="1:4" x14ac:dyDescent="0.35">
      <c r="A35" s="3">
        <v>45805</v>
      </c>
      <c r="B35">
        <v>0</v>
      </c>
      <c r="C35">
        <v>2</v>
      </c>
      <c r="D35">
        <v>2</v>
      </c>
    </row>
    <row r="36" spans="1:4" x14ac:dyDescent="0.35">
      <c r="A36" s="3">
        <v>45806</v>
      </c>
      <c r="B36">
        <v>0</v>
      </c>
      <c r="C36">
        <v>2</v>
      </c>
      <c r="D36">
        <v>2</v>
      </c>
    </row>
    <row r="37" spans="1:4" x14ac:dyDescent="0.35">
      <c r="A37" s="3">
        <v>45810</v>
      </c>
      <c r="B37">
        <v>1</v>
      </c>
      <c r="C37">
        <v>1</v>
      </c>
      <c r="D37">
        <v>0</v>
      </c>
    </row>
    <row r="38" spans="1:4" x14ac:dyDescent="0.35">
      <c r="A38" s="3">
        <v>45811</v>
      </c>
      <c r="B38">
        <v>0</v>
      </c>
      <c r="C38">
        <v>2</v>
      </c>
      <c r="D38">
        <v>2</v>
      </c>
    </row>
    <row r="39" spans="1:4" x14ac:dyDescent="0.35">
      <c r="A39" s="3">
        <v>45813</v>
      </c>
      <c r="B39">
        <v>0</v>
      </c>
      <c r="C39">
        <v>3</v>
      </c>
      <c r="D39">
        <v>3</v>
      </c>
    </row>
    <row r="40" spans="1:4" x14ac:dyDescent="0.35">
      <c r="A40" s="3">
        <v>45819</v>
      </c>
      <c r="B40">
        <v>0</v>
      </c>
      <c r="C40">
        <v>1</v>
      </c>
      <c r="D40">
        <v>1</v>
      </c>
    </row>
    <row r="41" spans="1:4" x14ac:dyDescent="0.35">
      <c r="A41" s="3">
        <v>45820</v>
      </c>
      <c r="B41">
        <v>0</v>
      </c>
      <c r="C41">
        <v>2</v>
      </c>
      <c r="D41">
        <v>2</v>
      </c>
    </row>
    <row r="42" spans="1:4" x14ac:dyDescent="0.35">
      <c r="A42" s="3">
        <v>45821</v>
      </c>
      <c r="B42">
        <v>0</v>
      </c>
      <c r="C42">
        <v>1</v>
      </c>
      <c r="D42">
        <v>1</v>
      </c>
    </row>
    <row r="43" spans="1:4" x14ac:dyDescent="0.35">
      <c r="A43" s="3">
        <v>45824</v>
      </c>
      <c r="B43">
        <v>0</v>
      </c>
      <c r="C43">
        <v>1</v>
      </c>
      <c r="D43">
        <v>1</v>
      </c>
    </row>
    <row r="44" spans="1:4" x14ac:dyDescent="0.35">
      <c r="A44" s="3">
        <v>45825</v>
      </c>
      <c r="B44">
        <v>0</v>
      </c>
      <c r="C44">
        <v>1</v>
      </c>
      <c r="D44">
        <v>1</v>
      </c>
    </row>
    <row r="45" spans="1:4" x14ac:dyDescent="0.35">
      <c r="A45" s="3">
        <v>45827</v>
      </c>
      <c r="B45">
        <v>0</v>
      </c>
      <c r="C45">
        <v>3</v>
      </c>
      <c r="D45">
        <v>3</v>
      </c>
    </row>
    <row r="46" spans="1:4" x14ac:dyDescent="0.35">
      <c r="A46" s="3">
        <v>45831</v>
      </c>
      <c r="B46">
        <v>0</v>
      </c>
      <c r="C46">
        <v>1</v>
      </c>
      <c r="D46">
        <v>1</v>
      </c>
    </row>
    <row r="47" spans="1:4" x14ac:dyDescent="0.35">
      <c r="A47" s="3">
        <v>45833</v>
      </c>
      <c r="B47">
        <v>0</v>
      </c>
      <c r="C47">
        <v>1</v>
      </c>
      <c r="D47">
        <v>1</v>
      </c>
    </row>
    <row r="48" spans="1:4" x14ac:dyDescent="0.35">
      <c r="A48" s="3">
        <v>45835</v>
      </c>
      <c r="B48">
        <v>0</v>
      </c>
      <c r="C48">
        <v>2</v>
      </c>
      <c r="D48">
        <v>2</v>
      </c>
    </row>
    <row r="49" spans="1:4" x14ac:dyDescent="0.35">
      <c r="A49" s="3">
        <v>45838</v>
      </c>
      <c r="B49">
        <v>0</v>
      </c>
      <c r="C49">
        <v>1</v>
      </c>
      <c r="D49">
        <v>1</v>
      </c>
    </row>
    <row r="50" spans="1:4" x14ac:dyDescent="0.35">
      <c r="A50" s="3">
        <v>45841</v>
      </c>
      <c r="B50">
        <v>0</v>
      </c>
      <c r="C50">
        <v>1</v>
      </c>
      <c r="D50">
        <v>1</v>
      </c>
    </row>
    <row r="51" spans="1:4" x14ac:dyDescent="0.35">
      <c r="A51" s="3">
        <v>45842</v>
      </c>
      <c r="B51">
        <v>0</v>
      </c>
      <c r="C51">
        <v>1</v>
      </c>
      <c r="D51">
        <v>1</v>
      </c>
    </row>
    <row r="52" spans="1:4" x14ac:dyDescent="0.35">
      <c r="A52" s="3">
        <v>45845</v>
      </c>
      <c r="B52">
        <v>0</v>
      </c>
      <c r="C52">
        <v>1</v>
      </c>
      <c r="D52">
        <v>1</v>
      </c>
    </row>
    <row r="53" spans="1:4" x14ac:dyDescent="0.35">
      <c r="A53" s="3">
        <v>45846</v>
      </c>
      <c r="B53">
        <v>0</v>
      </c>
      <c r="C53">
        <v>3</v>
      </c>
      <c r="D53">
        <v>3</v>
      </c>
    </row>
    <row r="54" spans="1:4" x14ac:dyDescent="0.35">
      <c r="A54" s="3">
        <v>45847</v>
      </c>
      <c r="B54">
        <v>0</v>
      </c>
      <c r="C54">
        <v>1</v>
      </c>
      <c r="D54">
        <v>1</v>
      </c>
    </row>
    <row r="55" spans="1:4" x14ac:dyDescent="0.35">
      <c r="A55" s="3">
        <v>45856</v>
      </c>
      <c r="B55">
        <v>1</v>
      </c>
      <c r="C55">
        <v>1</v>
      </c>
      <c r="D55">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25D59-8143-46BC-B375-52D1416213AC}">
  <sheetPr codeName="Sheet15"/>
  <dimension ref="A1:F149"/>
  <sheetViews>
    <sheetView workbookViewId="0">
      <selection activeCell="K13" sqref="K13:K14"/>
    </sheetView>
  </sheetViews>
  <sheetFormatPr defaultRowHeight="14.4" x14ac:dyDescent="0.35"/>
  <sheetData>
    <row r="1" spans="1:6" x14ac:dyDescent="0.35">
      <c r="A1" t="s">
        <v>391</v>
      </c>
      <c r="B1" t="str" cm="1">
        <f t="array" ref="B1:B21">_xlfn._xlws.FILTER(AssignPeopleToDepartments!B:B, AssignPeopleToDepartments!B:B&lt;&gt;0)</f>
        <v>Department</v>
      </c>
      <c r="C1" s="55" t="s">
        <v>372</v>
      </c>
      <c r="D1" s="55" t="s">
        <v>373</v>
      </c>
      <c r="E1" s="55" t="s">
        <v>374</v>
      </c>
      <c r="F1" s="55" t="s">
        <v>375</v>
      </c>
    </row>
    <row r="2" spans="1:6" x14ac:dyDescent="0.35">
      <c r="A2" t="str" cm="1">
        <f t="array" aca="1" ref="A2:A149" ca="1">IFERROR(IFERROR(_xlfn.VSTACK(INDIRECT("AssignPeopleToDepartments!A2:A"&amp;MAX(2,(AssignPeopleToDepartments!A:A&lt;&gt;"")*(ROW(A:A)))),_xlfn._xlws.FILTER(_xlfn.UNIQUE('CumVar by Department'!C2:C1000),IF(ISNA(_xlfn.XMATCH(_xlfn.UNIQUE('CumVar by Department'!C2:C1000),INDIRECT("AssignPeopleToDepartments!A2:A"&amp;MAX(2,(AssignPeopleToDepartments!A:A&lt;&gt;"")*(ROW(A:A)))))),_xlfn.UNIQUE('CumVar by Department'!C2:C1000),0)&lt;&gt;0)),_xlfn._xlws.FILTER(_xlfn.UNIQUE(AssignPeopleToDepartments!A2:A1000),_xlfn.UNIQUE(AssignPeopleToDepartments!A2:A1000)&lt;&gt;0)),0)</f>
        <v>Henry</v>
      </c>
      <c r="B2" t="str">
        <v>QC</v>
      </c>
      <c r="C2" cm="1">
        <f t="array" aca="1" ref="C2:C149" ca="1">COUNTIFS('CumVar by Department'!$C:$C,_xlfn.ANCHORARRAY( $A$2), 'CumVar by Department'!$D:$D, 1)</f>
        <v>0</v>
      </c>
      <c r="D2" cm="1">
        <f t="array" aca="1" ref="D2:D149" ca="1">COUNTIFS('CumVar by Department'!$C:$C,_xlfn.ANCHORARRAY( $A$2), 'CumVar by Department'!$D:$D, 2)</f>
        <v>0</v>
      </c>
      <c r="E2" cm="1">
        <f t="array" aca="1" ref="E2:E149" ca="1">COUNTIFS('CumVar by Department'!$C:$C,_xlfn.ANCHORARRAY( $A$2), 'CumVar by Department'!$D:$D, 3)</f>
        <v>0</v>
      </c>
      <c r="F2" cm="1">
        <f t="array" aca="1" ref="F2:F149" ca="1">COUNTIFS('CumVar by Department'!$C:$C,_xlfn.ANCHORARRAY( $A$2), 'CumVar by Department'!$D:$D, 4)</f>
        <v>0</v>
      </c>
    </row>
    <row r="3" spans="1:6" x14ac:dyDescent="0.35">
      <c r="A3" t="str">
        <f ca="1"/>
        <v>nairvis</v>
      </c>
      <c r="B3" t="str">
        <v>ADM</v>
      </c>
      <c r="C3">
        <f ca="1"/>
        <v>0</v>
      </c>
      <c r="D3">
        <f ca="1"/>
        <v>2</v>
      </c>
      <c r="E3">
        <f ca="1"/>
        <v>0</v>
      </c>
      <c r="F3">
        <f ca="1"/>
        <v>0</v>
      </c>
    </row>
    <row r="4" spans="1:6" x14ac:dyDescent="0.35">
      <c r="A4" t="str">
        <f ca="1"/>
        <v>upadhdhr</v>
      </c>
      <c r="B4" t="str">
        <v>QC</v>
      </c>
      <c r="C4">
        <f ca="1"/>
        <v>7</v>
      </c>
      <c r="D4">
        <f ca="1"/>
        <v>28</v>
      </c>
      <c r="E4">
        <f ca="1"/>
        <v>36</v>
      </c>
      <c r="F4">
        <f ca="1"/>
        <v>0</v>
      </c>
    </row>
    <row r="5" spans="1:6" x14ac:dyDescent="0.35">
      <c r="A5" t="str">
        <f ca="1"/>
        <v>ghutukad</v>
      </c>
      <c r="B5" t="str">
        <v>TEM</v>
      </c>
      <c r="C5">
        <f ca="1"/>
        <v>0</v>
      </c>
      <c r="D5">
        <f ca="1"/>
        <v>6</v>
      </c>
      <c r="E5">
        <f ca="1"/>
        <v>8</v>
      </c>
      <c r="F5">
        <f ca="1"/>
        <v>0</v>
      </c>
    </row>
    <row r="6" spans="1:6" x14ac:dyDescent="0.35">
      <c r="A6" t="str">
        <f ca="1"/>
        <v>sharan</v>
      </c>
      <c r="B6" t="str">
        <v>QC</v>
      </c>
      <c r="C6">
        <f ca="1"/>
        <v>0</v>
      </c>
      <c r="D6">
        <f ca="1"/>
        <v>1</v>
      </c>
      <c r="E6">
        <f ca="1"/>
        <v>0</v>
      </c>
      <c r="F6">
        <f ca="1"/>
        <v>0</v>
      </c>
    </row>
    <row r="7" spans="1:6" x14ac:dyDescent="0.35">
      <c r="A7" t="str">
        <f ca="1"/>
        <v>edla</v>
      </c>
      <c r="B7" t="str">
        <v>B&amp;SA</v>
      </c>
      <c r="C7">
        <f ca="1"/>
        <v>1</v>
      </c>
      <c r="D7">
        <f ca="1"/>
        <v>5</v>
      </c>
      <c r="E7">
        <f ca="1"/>
        <v>0</v>
      </c>
      <c r="F7">
        <f ca="1"/>
        <v>0</v>
      </c>
    </row>
    <row r="8" spans="1:6" x14ac:dyDescent="0.35">
      <c r="A8" t="str">
        <f ca="1"/>
        <v>nairt</v>
      </c>
      <c r="B8" t="str">
        <v>ADM</v>
      </c>
      <c r="C8">
        <f ca="1"/>
        <v>0</v>
      </c>
      <c r="D8">
        <f ca="1"/>
        <v>2</v>
      </c>
      <c r="E8">
        <f ca="1"/>
        <v>0</v>
      </c>
      <c r="F8">
        <f ca="1"/>
        <v>0</v>
      </c>
    </row>
    <row r="9" spans="1:6" x14ac:dyDescent="0.35">
      <c r="A9" t="str">
        <f ca="1"/>
        <v>sonavans</v>
      </c>
      <c r="B9" t="str">
        <v>QC</v>
      </c>
      <c r="C9">
        <f ca="1"/>
        <v>1</v>
      </c>
      <c r="D9">
        <f ca="1"/>
        <v>6</v>
      </c>
      <c r="E9">
        <f ca="1"/>
        <v>0</v>
      </c>
      <c r="F9">
        <f ca="1"/>
        <v>0</v>
      </c>
    </row>
    <row r="10" spans="1:6" x14ac:dyDescent="0.35">
      <c r="A10" t="str">
        <f ca="1"/>
        <v>asingh3</v>
      </c>
      <c r="B10" t="str">
        <v>ADM</v>
      </c>
      <c r="C10">
        <f ca="1"/>
        <v>1</v>
      </c>
      <c r="D10">
        <f ca="1"/>
        <v>0</v>
      </c>
      <c r="E10">
        <f ca="1"/>
        <v>0</v>
      </c>
      <c r="F10">
        <f ca="1"/>
        <v>0</v>
      </c>
    </row>
    <row r="11" spans="1:6" x14ac:dyDescent="0.35">
      <c r="A11" t="str">
        <f ca="1"/>
        <v>katre</v>
      </c>
      <c r="B11" t="str">
        <v>QC</v>
      </c>
      <c r="C11">
        <f ca="1"/>
        <v>0</v>
      </c>
      <c r="D11">
        <f ca="1"/>
        <v>0</v>
      </c>
      <c r="E11">
        <f ca="1"/>
        <v>2</v>
      </c>
      <c r="F11">
        <f ca="1"/>
        <v>0</v>
      </c>
    </row>
    <row r="12" spans="1:6" x14ac:dyDescent="0.35">
      <c r="A12" t="str">
        <f ca="1"/>
        <v>royman</v>
      </c>
      <c r="B12" t="str">
        <v>QC</v>
      </c>
      <c r="C12">
        <f ca="1"/>
        <v>0</v>
      </c>
      <c r="D12">
        <f ca="1"/>
        <v>1</v>
      </c>
      <c r="E12">
        <f ca="1"/>
        <v>4</v>
      </c>
      <c r="F12">
        <f ca="1"/>
        <v>0</v>
      </c>
    </row>
    <row r="13" spans="1:6" x14ac:dyDescent="0.35">
      <c r="A13" t="str">
        <f ca="1"/>
        <v>mandald</v>
      </c>
      <c r="B13" t="str">
        <v>B&amp;SA</v>
      </c>
      <c r="C13">
        <f ca="1"/>
        <v>0</v>
      </c>
      <c r="D13">
        <f ca="1"/>
        <v>2</v>
      </c>
      <c r="E13">
        <f ca="1"/>
        <v>0</v>
      </c>
      <c r="F13">
        <f ca="1"/>
        <v>0</v>
      </c>
    </row>
    <row r="14" spans="1:6" x14ac:dyDescent="0.35">
      <c r="A14" t="str">
        <f ca="1"/>
        <v>sinarshd</v>
      </c>
      <c r="B14" t="str">
        <v>Business</v>
      </c>
      <c r="C14">
        <f ca="1"/>
        <v>1</v>
      </c>
      <c r="D14">
        <f ca="1"/>
        <v>1</v>
      </c>
      <c r="E14">
        <f ca="1"/>
        <v>0</v>
      </c>
      <c r="F14">
        <f ca="1"/>
        <v>0</v>
      </c>
    </row>
    <row r="15" spans="1:6" x14ac:dyDescent="0.35">
      <c r="A15" t="str">
        <f ca="1"/>
        <v>punmiaa</v>
      </c>
      <c r="B15" t="str">
        <v>QC</v>
      </c>
      <c r="C15">
        <f ca="1"/>
        <v>1</v>
      </c>
      <c r="D15">
        <f ca="1"/>
        <v>0</v>
      </c>
      <c r="E15">
        <f ca="1"/>
        <v>2</v>
      </c>
      <c r="F15">
        <f ca="1"/>
        <v>0</v>
      </c>
    </row>
    <row r="16" spans="1:6" x14ac:dyDescent="0.35">
      <c r="A16" t="str">
        <f ca="1"/>
        <v>parekhs</v>
      </c>
      <c r="B16" t="str">
        <v>ADM</v>
      </c>
      <c r="C16">
        <f ca="1"/>
        <v>0</v>
      </c>
      <c r="D16">
        <f ca="1"/>
        <v>0</v>
      </c>
      <c r="E16">
        <f ca="1"/>
        <v>3</v>
      </c>
      <c r="F16">
        <f ca="1"/>
        <v>0</v>
      </c>
    </row>
    <row r="17" spans="1:6" x14ac:dyDescent="0.35">
      <c r="A17" t="str">
        <f ca="1"/>
        <v>chintalh</v>
      </c>
      <c r="B17" t="str">
        <v>ADM</v>
      </c>
      <c r="C17">
        <f ca="1"/>
        <v>0</v>
      </c>
      <c r="D17">
        <f ca="1"/>
        <v>0</v>
      </c>
      <c r="E17">
        <f ca="1"/>
        <v>0</v>
      </c>
      <c r="F17">
        <f ca="1"/>
        <v>0</v>
      </c>
    </row>
    <row r="18" spans="1:6" x14ac:dyDescent="0.35">
      <c r="A18" t="str">
        <f ca="1"/>
        <v>lellis</v>
      </c>
      <c r="B18" t="str">
        <v>ADM</v>
      </c>
      <c r="C18">
        <f ca="1"/>
        <v>0</v>
      </c>
      <c r="D18">
        <f ca="1"/>
        <v>0</v>
      </c>
      <c r="E18">
        <f ca="1"/>
        <v>0</v>
      </c>
      <c r="F18">
        <f ca="1"/>
        <v>0</v>
      </c>
    </row>
    <row r="19" spans="1:6" x14ac:dyDescent="0.35">
      <c r="A19" t="str">
        <f ca="1"/>
        <v>nagarban</v>
      </c>
      <c r="B19" t="str">
        <v>ADM</v>
      </c>
      <c r="C19">
        <f ca="1"/>
        <v>0</v>
      </c>
      <c r="D19">
        <f ca="1"/>
        <v>1</v>
      </c>
      <c r="E19">
        <f ca="1"/>
        <v>0</v>
      </c>
      <c r="F19">
        <f ca="1"/>
        <v>0</v>
      </c>
    </row>
    <row r="20" spans="1:6" x14ac:dyDescent="0.35">
      <c r="A20" t="str">
        <f ca="1"/>
        <v>bamigbol</v>
      </c>
      <c r="B20" t="str">
        <v>ADM</v>
      </c>
      <c r="C20">
        <f ca="1"/>
        <v>0</v>
      </c>
      <c r="D20">
        <f ca="1"/>
        <v>0</v>
      </c>
      <c r="E20">
        <f ca="1"/>
        <v>0</v>
      </c>
      <c r="F20">
        <f ca="1"/>
        <v>0</v>
      </c>
    </row>
    <row r="21" spans="1:6" x14ac:dyDescent="0.35">
      <c r="A21" t="str">
        <f ca="1"/>
        <v>kchugh</v>
      </c>
      <c r="B21" t="str">
        <v>ADM</v>
      </c>
      <c r="C21">
        <f ca="1"/>
        <v>0</v>
      </c>
      <c r="D21">
        <f ca="1"/>
        <v>1</v>
      </c>
      <c r="E21">
        <f ca="1"/>
        <v>0</v>
      </c>
      <c r="F21">
        <f ca="1"/>
        <v>0</v>
      </c>
    </row>
    <row r="22" spans="1:6" x14ac:dyDescent="0.35">
      <c r="A22" t="str">
        <f ca="1"/>
        <v>dmallick</v>
      </c>
      <c r="C22">
        <f ca="1"/>
        <v>1</v>
      </c>
      <c r="D22">
        <f ca="1"/>
        <v>0</v>
      </c>
      <c r="E22">
        <f ca="1"/>
        <v>0</v>
      </c>
      <c r="F22">
        <f ca="1"/>
        <v>0</v>
      </c>
    </row>
    <row r="23" spans="1:6" x14ac:dyDescent="0.35">
      <c r="A23" t="str">
        <f ca="1"/>
        <v>sahoopri</v>
      </c>
      <c r="C23">
        <f ca="1"/>
        <v>0</v>
      </c>
      <c r="D23">
        <f ca="1"/>
        <v>1</v>
      </c>
      <c r="E23">
        <f ca="1"/>
        <v>0</v>
      </c>
      <c r="F23">
        <f ca="1"/>
        <v>0</v>
      </c>
    </row>
    <row r="24" spans="1:6" x14ac:dyDescent="0.35">
      <c r="A24" t="str">
        <f ca="1"/>
        <v>tiwarir</v>
      </c>
      <c r="C24">
        <f ca="1"/>
        <v>0</v>
      </c>
      <c r="D24">
        <f ca="1"/>
        <v>0</v>
      </c>
      <c r="E24">
        <f ca="1"/>
        <v>0</v>
      </c>
      <c r="F24">
        <f ca="1"/>
        <v>0</v>
      </c>
    </row>
    <row r="25" spans="1:6" x14ac:dyDescent="0.35">
      <c r="A25" t="str">
        <f ca="1"/>
        <v>patilgau</v>
      </c>
      <c r="C25">
        <f ca="1"/>
        <v>0</v>
      </c>
      <c r="D25">
        <f ca="1"/>
        <v>0</v>
      </c>
      <c r="E25">
        <f ca="1"/>
        <v>0</v>
      </c>
      <c r="F25">
        <f ca="1"/>
        <v>0</v>
      </c>
    </row>
    <row r="26" spans="1:6" x14ac:dyDescent="0.35">
      <c r="A26" t="str">
        <f ca="1"/>
        <v>jaspalsi</v>
      </c>
      <c r="C26">
        <f ca="1"/>
        <v>0</v>
      </c>
      <c r="D26">
        <f ca="1"/>
        <v>0</v>
      </c>
      <c r="E26">
        <f ca="1"/>
        <v>0</v>
      </c>
      <c r="F26">
        <f ca="1"/>
        <v>0</v>
      </c>
    </row>
    <row r="27" spans="1:6" x14ac:dyDescent="0.35">
      <c r="A27" t="str">
        <f ca="1"/>
        <v>lokesha</v>
      </c>
      <c r="C27">
        <f ca="1"/>
        <v>0</v>
      </c>
      <c r="D27">
        <f ca="1"/>
        <v>0</v>
      </c>
      <c r="E27">
        <f ca="1"/>
        <v>0</v>
      </c>
      <c r="F27">
        <f ca="1"/>
        <v>0</v>
      </c>
    </row>
    <row r="28" spans="1:6" x14ac:dyDescent="0.35">
      <c r="A28" t="str">
        <f ca="1"/>
        <v>sinhanis</v>
      </c>
      <c r="C28">
        <f ca="1"/>
        <v>0</v>
      </c>
      <c r="D28">
        <f ca="1"/>
        <v>0</v>
      </c>
      <c r="E28">
        <f ca="1"/>
        <v>0</v>
      </c>
      <c r="F28">
        <f ca="1"/>
        <v>0</v>
      </c>
    </row>
    <row r="29" spans="1:6" x14ac:dyDescent="0.35">
      <c r="A29" t="str">
        <f ca="1"/>
        <v>bodara</v>
      </c>
      <c r="C29">
        <f ca="1"/>
        <v>0</v>
      </c>
      <c r="D29">
        <f ca="1"/>
        <v>0</v>
      </c>
      <c r="E29">
        <f ca="1"/>
        <v>0</v>
      </c>
      <c r="F29">
        <f ca="1"/>
        <v>0</v>
      </c>
    </row>
    <row r="30" spans="1:6" x14ac:dyDescent="0.35">
      <c r="A30" t="str">
        <f ca="1"/>
        <v>chede</v>
      </c>
      <c r="C30">
        <f ca="1"/>
        <v>0</v>
      </c>
      <c r="D30">
        <f ca="1"/>
        <v>0</v>
      </c>
      <c r="E30">
        <f ca="1"/>
        <v>0</v>
      </c>
      <c r="F30">
        <f ca="1"/>
        <v>0</v>
      </c>
    </row>
    <row r="31" spans="1:6" x14ac:dyDescent="0.35">
      <c r="A31" t="str">
        <f ca="1"/>
        <v>waghe</v>
      </c>
      <c r="C31">
        <f ca="1"/>
        <v>0</v>
      </c>
      <c r="D31">
        <f ca="1"/>
        <v>0</v>
      </c>
      <c r="E31">
        <f ca="1"/>
        <v>0</v>
      </c>
      <c r="F31">
        <f ca="1"/>
        <v>0</v>
      </c>
    </row>
    <row r="32" spans="1:6" x14ac:dyDescent="0.35">
      <c r="A32" t="str">
        <f ca="1"/>
        <v>raide</v>
      </c>
      <c r="C32">
        <f ca="1"/>
        <v>0</v>
      </c>
      <c r="D32">
        <f ca="1"/>
        <v>0</v>
      </c>
      <c r="E32">
        <f ca="1"/>
        <v>0</v>
      </c>
      <c r="F32">
        <f ca="1"/>
        <v>0</v>
      </c>
    </row>
    <row r="33" spans="1:6" x14ac:dyDescent="0.35">
      <c r="A33" t="str">
        <f ca="1"/>
        <v>rpothal</v>
      </c>
      <c r="C33">
        <f ca="1"/>
        <v>0</v>
      </c>
      <c r="D33">
        <f ca="1"/>
        <v>0</v>
      </c>
      <c r="E33">
        <f ca="1"/>
        <v>0</v>
      </c>
      <c r="F33">
        <f ca="1"/>
        <v>0</v>
      </c>
    </row>
    <row r="34" spans="1:6" x14ac:dyDescent="0.35">
      <c r="A34" t="str">
        <f ca="1"/>
        <v>chavansn</v>
      </c>
      <c r="C34">
        <f ca="1"/>
        <v>0</v>
      </c>
      <c r="D34">
        <f ca="1"/>
        <v>0</v>
      </c>
      <c r="E34">
        <f ca="1"/>
        <v>0</v>
      </c>
      <c r="F34">
        <f ca="1"/>
        <v>0</v>
      </c>
    </row>
    <row r="35" spans="1:6" x14ac:dyDescent="0.35">
      <c r="A35" t="str">
        <f ca="1"/>
        <v>sharmnis</v>
      </c>
      <c r="C35">
        <f ca="1"/>
        <v>0</v>
      </c>
      <c r="D35">
        <f ca="1"/>
        <v>0</v>
      </c>
      <c r="E35">
        <f ca="1"/>
        <v>0</v>
      </c>
      <c r="F35">
        <f ca="1"/>
        <v>0</v>
      </c>
    </row>
    <row r="36" spans="1:6" x14ac:dyDescent="0.35">
      <c r="A36" t="str">
        <f ca="1"/>
        <v>vhanmane</v>
      </c>
      <c r="C36">
        <f ca="1"/>
        <v>0</v>
      </c>
      <c r="D36">
        <f ca="1"/>
        <v>0</v>
      </c>
      <c r="E36">
        <f ca="1"/>
        <v>0</v>
      </c>
      <c r="F36">
        <f ca="1"/>
        <v>0</v>
      </c>
    </row>
    <row r="37" spans="1:6" x14ac:dyDescent="0.35">
      <c r="A37" t="str">
        <f ca="1"/>
        <v>patimadh</v>
      </c>
      <c r="C37">
        <f ca="1"/>
        <v>0</v>
      </c>
      <c r="D37">
        <f ca="1"/>
        <v>0</v>
      </c>
      <c r="E37">
        <f ca="1"/>
        <v>0</v>
      </c>
      <c r="F37">
        <f ca="1"/>
        <v>0</v>
      </c>
    </row>
    <row r="38" spans="1:6" x14ac:dyDescent="0.35">
      <c r="A38" t="str">
        <f ca="1"/>
        <v>pawarad</v>
      </c>
      <c r="C38">
        <f ca="1"/>
        <v>0</v>
      </c>
      <c r="D38">
        <f ca="1"/>
        <v>0</v>
      </c>
      <c r="E38">
        <f ca="1"/>
        <v>0</v>
      </c>
      <c r="F38">
        <f ca="1"/>
        <v>0</v>
      </c>
    </row>
    <row r="39" spans="1:6" x14ac:dyDescent="0.35">
      <c r="A39" t="str">
        <f ca="1"/>
        <v>pshukla</v>
      </c>
      <c r="C39">
        <f ca="1"/>
        <v>0</v>
      </c>
      <c r="D39">
        <f ca="1"/>
        <v>0</v>
      </c>
      <c r="E39">
        <f ca="1"/>
        <v>0</v>
      </c>
      <c r="F39">
        <f ca="1"/>
        <v>0</v>
      </c>
    </row>
    <row r="40" spans="1:6" x14ac:dyDescent="0.35">
      <c r="A40" t="str">
        <f ca="1"/>
        <v>desu</v>
      </c>
      <c r="C40">
        <f ca="1"/>
        <v>0</v>
      </c>
      <c r="D40">
        <f ca="1"/>
        <v>0</v>
      </c>
      <c r="E40">
        <f ca="1"/>
        <v>0</v>
      </c>
      <c r="F40">
        <f ca="1"/>
        <v>0</v>
      </c>
    </row>
    <row r="41" spans="1:6" x14ac:dyDescent="0.35">
      <c r="A41" t="str">
        <f ca="1"/>
        <v>sehgalga</v>
      </c>
      <c r="C41">
        <f ca="1"/>
        <v>0</v>
      </c>
      <c r="D41">
        <f ca="1"/>
        <v>0</v>
      </c>
      <c r="E41">
        <f ca="1"/>
        <v>0</v>
      </c>
      <c r="F41">
        <f ca="1"/>
        <v>0</v>
      </c>
    </row>
    <row r="42" spans="1:6" x14ac:dyDescent="0.35">
      <c r="A42" t="str">
        <f ca="1"/>
        <v>gaware</v>
      </c>
      <c r="C42">
        <f ca="1"/>
        <v>0</v>
      </c>
      <c r="D42">
        <f ca="1"/>
        <v>0</v>
      </c>
      <c r="E42">
        <f ca="1"/>
        <v>0</v>
      </c>
      <c r="F42">
        <f ca="1"/>
        <v>0</v>
      </c>
    </row>
    <row r="43" spans="1:6" x14ac:dyDescent="0.35">
      <c r="A43" t="str">
        <f ca="1"/>
        <v>dasgupti</v>
      </c>
      <c r="C43">
        <f ca="1"/>
        <v>0</v>
      </c>
      <c r="D43">
        <f ca="1"/>
        <v>0</v>
      </c>
      <c r="E43">
        <f ca="1"/>
        <v>0</v>
      </c>
      <c r="F43">
        <f ca="1"/>
        <v>0</v>
      </c>
    </row>
    <row r="44" spans="1:6" x14ac:dyDescent="0.35">
      <c r="A44" t="str">
        <f ca="1"/>
        <v>sainiman</v>
      </c>
      <c r="C44">
        <f ca="1"/>
        <v>0</v>
      </c>
      <c r="D44">
        <f ca="1"/>
        <v>0</v>
      </c>
      <c r="E44">
        <f ca="1"/>
        <v>0</v>
      </c>
      <c r="F44">
        <f ca="1"/>
        <v>0</v>
      </c>
    </row>
    <row r="45" spans="1:6" x14ac:dyDescent="0.35">
      <c r="A45" t="str">
        <f ca="1"/>
        <v>hcautomation</v>
      </c>
      <c r="C45">
        <f ca="1"/>
        <v>0</v>
      </c>
      <c r="D45">
        <f ca="1"/>
        <v>0</v>
      </c>
      <c r="E45">
        <f ca="1"/>
        <v>0</v>
      </c>
      <c r="F45">
        <f ca="1"/>
        <v>0</v>
      </c>
    </row>
    <row r="46" spans="1:6" x14ac:dyDescent="0.35">
      <c r="A46" t="str">
        <f ca="1"/>
        <v>fbmarty</v>
      </c>
      <c r="C46">
        <f ca="1"/>
        <v>0</v>
      </c>
      <c r="D46">
        <f ca="1"/>
        <v>0</v>
      </c>
      <c r="E46">
        <f ca="1"/>
        <v>0</v>
      </c>
      <c r="F46">
        <f ca="1"/>
        <v>0</v>
      </c>
    </row>
    <row r="47" spans="1:6" x14ac:dyDescent="0.35">
      <c r="A47" t="str">
        <f ca="1"/>
        <v>pandeyt</v>
      </c>
      <c r="C47">
        <f ca="1"/>
        <v>0</v>
      </c>
      <c r="D47">
        <f ca="1"/>
        <v>0</v>
      </c>
      <c r="E47">
        <f ca="1"/>
        <v>0</v>
      </c>
      <c r="F47">
        <f ca="1"/>
        <v>0</v>
      </c>
    </row>
    <row r="48" spans="1:6" x14ac:dyDescent="0.35">
      <c r="A48" t="str">
        <f ca="1"/>
        <v>vermshub</v>
      </c>
      <c r="C48">
        <f ca="1"/>
        <v>0</v>
      </c>
      <c r="D48">
        <f ca="1"/>
        <v>0</v>
      </c>
      <c r="E48">
        <f ca="1"/>
        <v>0</v>
      </c>
      <c r="F48">
        <f ca="1"/>
        <v>0</v>
      </c>
    </row>
    <row r="49" spans="1:6" x14ac:dyDescent="0.35">
      <c r="A49" t="str">
        <f ca="1"/>
        <v>pharshbh</v>
      </c>
      <c r="C49">
        <f ca="1"/>
        <v>0</v>
      </c>
      <c r="D49">
        <f ca="1"/>
        <v>0</v>
      </c>
      <c r="E49">
        <f ca="1"/>
        <v>0</v>
      </c>
      <c r="F49">
        <f ca="1"/>
        <v>0</v>
      </c>
    </row>
    <row r="50" spans="1:6" x14ac:dyDescent="0.35">
      <c r="A50" t="str">
        <f ca="1"/>
        <v>jsingh1</v>
      </c>
      <c r="C50">
        <f ca="1"/>
        <v>0</v>
      </c>
      <c r="D50">
        <f ca="1"/>
        <v>0</v>
      </c>
      <c r="E50">
        <f ca="1"/>
        <v>0</v>
      </c>
      <c r="F50">
        <f ca="1"/>
        <v>0</v>
      </c>
    </row>
    <row r="51" spans="1:6" x14ac:dyDescent="0.35">
      <c r="A51" t="str">
        <f ca="1"/>
        <v>kalaisek</v>
      </c>
      <c r="C51">
        <f ca="1"/>
        <v>0</v>
      </c>
      <c r="D51">
        <f ca="1"/>
        <v>0</v>
      </c>
      <c r="E51">
        <f ca="1"/>
        <v>0</v>
      </c>
      <c r="F51">
        <f ca="1"/>
        <v>0</v>
      </c>
    </row>
    <row r="52" spans="1:6" x14ac:dyDescent="0.35">
      <c r="A52" t="str">
        <f ca="1"/>
        <v>selvaniv</v>
      </c>
      <c r="C52">
        <f ca="1"/>
        <v>0</v>
      </c>
      <c r="D52">
        <f ca="1"/>
        <v>0</v>
      </c>
      <c r="E52">
        <f ca="1"/>
        <v>0</v>
      </c>
      <c r="F52">
        <f ca="1"/>
        <v>0</v>
      </c>
    </row>
    <row r="53" spans="1:6" x14ac:dyDescent="0.35">
      <c r="A53" t="str">
        <f ca="1"/>
        <v>dassur</v>
      </c>
      <c r="C53">
        <f ca="1"/>
        <v>0</v>
      </c>
      <c r="D53">
        <f ca="1"/>
        <v>0</v>
      </c>
      <c r="E53">
        <f ca="1"/>
        <v>0</v>
      </c>
      <c r="F53">
        <f ca="1"/>
        <v>0</v>
      </c>
    </row>
    <row r="54" spans="1:6" x14ac:dyDescent="0.35">
      <c r="A54" t="str">
        <f ca="1"/>
        <v>kerry.oleary</v>
      </c>
      <c r="C54">
        <f ca="1"/>
        <v>0</v>
      </c>
      <c r="D54">
        <f ca="1"/>
        <v>0</v>
      </c>
      <c r="E54">
        <f ca="1"/>
        <v>0</v>
      </c>
      <c r="F54">
        <f ca="1"/>
        <v>0</v>
      </c>
    </row>
    <row r="55" spans="1:6" x14ac:dyDescent="0.35">
      <c r="A55" t="str">
        <f ca="1"/>
        <v>singhchi</v>
      </c>
      <c r="C55">
        <f ca="1"/>
        <v>0</v>
      </c>
      <c r="D55">
        <f ca="1"/>
        <v>0</v>
      </c>
      <c r="E55">
        <f ca="1"/>
        <v>0</v>
      </c>
      <c r="F55">
        <f ca="1"/>
        <v>0</v>
      </c>
    </row>
    <row r="56" spans="1:6" x14ac:dyDescent="0.35">
      <c r="A56" t="str">
        <f ca="1"/>
        <v>mohantde</v>
      </c>
      <c r="C56">
        <f ca="1"/>
        <v>0</v>
      </c>
      <c r="D56">
        <f ca="1"/>
        <v>0</v>
      </c>
      <c r="E56">
        <f ca="1"/>
        <v>0</v>
      </c>
      <c r="F56">
        <f ca="1"/>
        <v>0</v>
      </c>
    </row>
    <row r="57" spans="1:6" x14ac:dyDescent="0.35">
      <c r="A57" t="str">
        <f ca="1"/>
        <v>kaleelah</v>
      </c>
      <c r="C57">
        <f ca="1"/>
        <v>0</v>
      </c>
      <c r="D57">
        <f ca="1"/>
        <v>0</v>
      </c>
      <c r="E57">
        <f ca="1"/>
        <v>0</v>
      </c>
      <c r="F57">
        <f ca="1"/>
        <v>0</v>
      </c>
    </row>
    <row r="58" spans="1:6" x14ac:dyDescent="0.35">
      <c r="A58" t="str">
        <f ca="1"/>
        <v>dashmani</v>
      </c>
      <c r="C58">
        <f ca="1"/>
        <v>0</v>
      </c>
      <c r="D58">
        <f ca="1"/>
        <v>0</v>
      </c>
      <c r="E58">
        <f ca="1"/>
        <v>0</v>
      </c>
      <c r="F58">
        <f ca="1"/>
        <v>0</v>
      </c>
    </row>
    <row r="59" spans="1:6" x14ac:dyDescent="0.35">
      <c r="A59" t="str">
        <f ca="1"/>
        <v>abhipa</v>
      </c>
      <c r="C59">
        <f ca="1"/>
        <v>0</v>
      </c>
      <c r="D59">
        <f ca="1"/>
        <v>0</v>
      </c>
      <c r="E59">
        <f ca="1"/>
        <v>0</v>
      </c>
      <c r="F59">
        <f ca="1"/>
        <v>0</v>
      </c>
    </row>
    <row r="60" spans="1:6" x14ac:dyDescent="0.35">
      <c r="A60" t="str">
        <f ca="1"/>
        <v>rodge</v>
      </c>
      <c r="C60">
        <f ca="1"/>
        <v>0</v>
      </c>
      <c r="D60">
        <f ca="1"/>
        <v>0</v>
      </c>
      <c r="E60">
        <f ca="1"/>
        <v>0</v>
      </c>
      <c r="F60">
        <f ca="1"/>
        <v>0</v>
      </c>
    </row>
    <row r="61" spans="1:6" x14ac:dyDescent="0.35">
      <c r="A61" t="str">
        <f ca="1"/>
        <v>prabhua</v>
      </c>
      <c r="C61">
        <f ca="1"/>
        <v>0</v>
      </c>
      <c r="D61">
        <f ca="1"/>
        <v>0</v>
      </c>
      <c r="E61">
        <f ca="1"/>
        <v>0</v>
      </c>
      <c r="F61">
        <f ca="1"/>
        <v>0</v>
      </c>
    </row>
    <row r="62" spans="1:6" x14ac:dyDescent="0.35">
      <c r="A62" t="str">
        <f ca="1"/>
        <v>maddiral</v>
      </c>
      <c r="C62">
        <f ca="1"/>
        <v>0</v>
      </c>
      <c r="D62">
        <f ca="1"/>
        <v>0</v>
      </c>
      <c r="E62">
        <f ca="1"/>
        <v>0</v>
      </c>
      <c r="F62">
        <f ca="1"/>
        <v>0</v>
      </c>
    </row>
    <row r="63" spans="1:6" x14ac:dyDescent="0.35">
      <c r="A63" t="str">
        <f ca="1"/>
        <v>sirikant</v>
      </c>
      <c r="C63">
        <f ca="1"/>
        <v>0</v>
      </c>
      <c r="D63">
        <f ca="1"/>
        <v>0</v>
      </c>
      <c r="E63">
        <f ca="1"/>
        <v>0</v>
      </c>
      <c r="F63">
        <f ca="1"/>
        <v>0</v>
      </c>
    </row>
    <row r="64" spans="1:6" x14ac:dyDescent="0.35">
      <c r="A64" t="str">
        <f ca="1"/>
        <v>mohantyt</v>
      </c>
      <c r="C64">
        <f ca="1"/>
        <v>0</v>
      </c>
      <c r="D64">
        <f ca="1"/>
        <v>0</v>
      </c>
      <c r="E64">
        <f ca="1"/>
        <v>0</v>
      </c>
      <c r="F64">
        <f ca="1"/>
        <v>0</v>
      </c>
    </row>
    <row r="65" spans="1:6" x14ac:dyDescent="0.35">
      <c r="A65" t="str">
        <f ca="1"/>
        <v>vachhani</v>
      </c>
      <c r="C65">
        <f ca="1"/>
        <v>0</v>
      </c>
      <c r="D65">
        <f ca="1"/>
        <v>0</v>
      </c>
      <c r="E65">
        <f ca="1"/>
        <v>0</v>
      </c>
      <c r="F65">
        <f ca="1"/>
        <v>0</v>
      </c>
    </row>
    <row r="66" spans="1:6" x14ac:dyDescent="0.35">
      <c r="A66" t="str">
        <f ca="1"/>
        <v>khanba</v>
      </c>
      <c r="C66">
        <f ca="1"/>
        <v>0</v>
      </c>
      <c r="D66">
        <f ca="1"/>
        <v>0</v>
      </c>
      <c r="E66">
        <f ca="1"/>
        <v>0</v>
      </c>
      <c r="F66">
        <f ca="1"/>
        <v>0</v>
      </c>
    </row>
    <row r="67" spans="1:6" x14ac:dyDescent="0.35">
      <c r="A67" t="str">
        <f ca="1"/>
        <v>prakashr</v>
      </c>
      <c r="C67">
        <f ca="1"/>
        <v>0</v>
      </c>
      <c r="D67">
        <f ca="1"/>
        <v>0</v>
      </c>
      <c r="E67">
        <f ca="1"/>
        <v>0</v>
      </c>
      <c r="F67">
        <f ca="1"/>
        <v>0</v>
      </c>
    </row>
    <row r="68" spans="1:6" x14ac:dyDescent="0.35">
      <c r="A68" t="str">
        <f ca="1"/>
        <v>mandala</v>
      </c>
      <c r="C68">
        <f ca="1"/>
        <v>0</v>
      </c>
      <c r="D68">
        <f ca="1"/>
        <v>0</v>
      </c>
      <c r="E68">
        <f ca="1"/>
        <v>0</v>
      </c>
      <c r="F68">
        <f ca="1"/>
        <v>0</v>
      </c>
    </row>
    <row r="69" spans="1:6" x14ac:dyDescent="0.35">
      <c r="A69" t="str">
        <f ca="1"/>
        <v>lenkasi</v>
      </c>
      <c r="C69">
        <f ca="1"/>
        <v>0</v>
      </c>
      <c r="D69">
        <f ca="1"/>
        <v>0</v>
      </c>
      <c r="E69">
        <f ca="1"/>
        <v>0</v>
      </c>
      <c r="F69">
        <f ca="1"/>
        <v>0</v>
      </c>
    </row>
    <row r="70" spans="1:6" x14ac:dyDescent="0.35">
      <c r="A70" t="str">
        <f ca="1"/>
        <v>nigamv</v>
      </c>
      <c r="C70">
        <f ca="1"/>
        <v>0</v>
      </c>
      <c r="D70">
        <f ca="1"/>
        <v>0</v>
      </c>
      <c r="E70">
        <f ca="1"/>
        <v>0</v>
      </c>
      <c r="F70">
        <f ca="1"/>
        <v>0</v>
      </c>
    </row>
    <row r="71" spans="1:6" x14ac:dyDescent="0.35">
      <c r="A71" t="str">
        <f ca="1"/>
        <v>dassac</v>
      </c>
      <c r="C71">
        <f ca="1"/>
        <v>0</v>
      </c>
      <c r="D71">
        <f ca="1"/>
        <v>0</v>
      </c>
      <c r="E71">
        <f ca="1"/>
        <v>0</v>
      </c>
      <c r="F71">
        <f ca="1"/>
        <v>0</v>
      </c>
    </row>
    <row r="72" spans="1:6" x14ac:dyDescent="0.35">
      <c r="A72" t="str">
        <f ca="1"/>
        <v>dasaish</v>
      </c>
      <c r="C72">
        <f ca="1"/>
        <v>0</v>
      </c>
      <c r="D72">
        <f ca="1"/>
        <v>0</v>
      </c>
      <c r="E72">
        <f ca="1"/>
        <v>0</v>
      </c>
      <c r="F72">
        <f ca="1"/>
        <v>0</v>
      </c>
    </row>
    <row r="73" spans="1:6" x14ac:dyDescent="0.35">
      <c r="A73" t="str">
        <f ca="1"/>
        <v>patramr</v>
      </c>
      <c r="C73">
        <f ca="1"/>
        <v>0</v>
      </c>
      <c r="D73">
        <f ca="1"/>
        <v>0</v>
      </c>
      <c r="E73">
        <f ca="1"/>
        <v>0</v>
      </c>
      <c r="F73">
        <f ca="1"/>
        <v>0</v>
      </c>
    </row>
    <row r="74" spans="1:6" x14ac:dyDescent="0.35">
      <c r="A74" t="str">
        <f ca="1"/>
        <v>c.codrescu</v>
      </c>
      <c r="C74">
        <f ca="1"/>
        <v>0</v>
      </c>
      <c r="D74">
        <f ca="1"/>
        <v>0</v>
      </c>
      <c r="E74">
        <f ca="1"/>
        <v>0</v>
      </c>
      <c r="F74">
        <f ca="1"/>
        <v>0</v>
      </c>
    </row>
    <row r="75" spans="1:6" x14ac:dyDescent="0.35">
      <c r="A75" t="str">
        <f ca="1"/>
        <v>nandaab</v>
      </c>
      <c r="C75">
        <f ca="1"/>
        <v>0</v>
      </c>
      <c r="D75">
        <f ca="1"/>
        <v>0</v>
      </c>
      <c r="E75">
        <f ca="1"/>
        <v>0</v>
      </c>
      <c r="F75">
        <f ca="1"/>
        <v>0</v>
      </c>
    </row>
    <row r="76" spans="1:6" x14ac:dyDescent="0.35">
      <c r="A76" t="str">
        <f ca="1"/>
        <v>srailkar</v>
      </c>
      <c r="C76">
        <f ca="1"/>
        <v>0</v>
      </c>
      <c r="D76">
        <f ca="1"/>
        <v>0</v>
      </c>
      <c r="E76">
        <f ca="1"/>
        <v>0</v>
      </c>
      <c r="F76">
        <f ca="1"/>
        <v>0</v>
      </c>
    </row>
    <row r="77" spans="1:6" x14ac:dyDescent="0.35">
      <c r="A77" t="str">
        <f ca="1"/>
        <v>ghone</v>
      </c>
      <c r="C77">
        <f ca="1"/>
        <v>0</v>
      </c>
      <c r="D77">
        <f ca="1"/>
        <v>0</v>
      </c>
      <c r="E77">
        <f ca="1"/>
        <v>0</v>
      </c>
      <c r="F77">
        <f ca="1"/>
        <v>0</v>
      </c>
    </row>
    <row r="78" spans="1:6" x14ac:dyDescent="0.35">
      <c r="A78" t="str">
        <f ca="1"/>
        <v>maharana</v>
      </c>
      <c r="C78">
        <f ca="1"/>
        <v>0</v>
      </c>
      <c r="D78">
        <f ca="1"/>
        <v>0</v>
      </c>
      <c r="E78">
        <f ca="1"/>
        <v>0</v>
      </c>
      <c r="F78">
        <f ca="1"/>
        <v>0</v>
      </c>
    </row>
    <row r="79" spans="1:6" x14ac:dyDescent="0.35">
      <c r="A79" t="str">
        <f ca="1"/>
        <v>balajias</v>
      </c>
      <c r="C79">
        <f ca="1"/>
        <v>0</v>
      </c>
      <c r="D79">
        <f ca="1"/>
        <v>0</v>
      </c>
      <c r="E79">
        <f ca="1"/>
        <v>0</v>
      </c>
      <c r="F79">
        <f ca="1"/>
        <v>0</v>
      </c>
    </row>
    <row r="80" spans="1:6" x14ac:dyDescent="0.35">
      <c r="A80" t="str">
        <f ca="1"/>
        <v>agarwnit</v>
      </c>
      <c r="C80">
        <f ca="1"/>
        <v>0</v>
      </c>
      <c r="D80">
        <f ca="1"/>
        <v>0</v>
      </c>
      <c r="E80">
        <f ca="1"/>
        <v>0</v>
      </c>
      <c r="F80">
        <f ca="1"/>
        <v>0</v>
      </c>
    </row>
    <row r="81" spans="1:6" x14ac:dyDescent="0.35">
      <c r="A81" t="str">
        <f ca="1"/>
        <v>sonavane</v>
      </c>
      <c r="C81">
        <f ca="1"/>
        <v>0</v>
      </c>
      <c r="D81">
        <f ca="1"/>
        <v>0</v>
      </c>
      <c r="E81">
        <f ca="1"/>
        <v>0</v>
      </c>
      <c r="F81">
        <f ca="1"/>
        <v>0</v>
      </c>
    </row>
    <row r="82" spans="1:6" x14ac:dyDescent="0.35">
      <c r="A82" t="str">
        <f ca="1"/>
        <v>nguyanht</v>
      </c>
      <c r="C82">
        <f ca="1"/>
        <v>0</v>
      </c>
      <c r="D82">
        <f ca="1"/>
        <v>0</v>
      </c>
      <c r="E82">
        <f ca="1"/>
        <v>0</v>
      </c>
      <c r="F82">
        <f ca="1"/>
        <v>0</v>
      </c>
    </row>
    <row r="83" spans="1:6" x14ac:dyDescent="0.35">
      <c r="A83" t="str">
        <f ca="1"/>
        <v>donthala</v>
      </c>
      <c r="C83">
        <f ca="1"/>
        <v>0</v>
      </c>
      <c r="D83">
        <f ca="1"/>
        <v>0</v>
      </c>
      <c r="E83">
        <f ca="1"/>
        <v>0</v>
      </c>
      <c r="F83">
        <f ca="1"/>
        <v>0</v>
      </c>
    </row>
    <row r="84" spans="1:6" x14ac:dyDescent="0.35">
      <c r="A84" t="str">
        <f ca="1"/>
        <v>mallickt</v>
      </c>
      <c r="C84">
        <f ca="1"/>
        <v>0</v>
      </c>
      <c r="D84">
        <f ca="1"/>
        <v>0</v>
      </c>
      <c r="E84">
        <f ca="1"/>
        <v>0</v>
      </c>
      <c r="F84">
        <f ca="1"/>
        <v>0</v>
      </c>
    </row>
    <row r="85" spans="1:6" x14ac:dyDescent="0.35">
      <c r="A85" t="str">
        <f ca="1"/>
        <v>vrsjhali</v>
      </c>
      <c r="C85">
        <f ca="1"/>
        <v>0</v>
      </c>
      <c r="D85">
        <f ca="1"/>
        <v>0</v>
      </c>
      <c r="E85">
        <f ca="1"/>
        <v>0</v>
      </c>
      <c r="F85">
        <f ca="1"/>
        <v>0</v>
      </c>
    </row>
    <row r="86" spans="1:6" x14ac:dyDescent="0.35">
      <c r="A86" t="str">
        <f ca="1"/>
        <v>oxu</v>
      </c>
      <c r="C86">
        <f ca="1"/>
        <v>0</v>
      </c>
      <c r="D86">
        <f ca="1"/>
        <v>0</v>
      </c>
      <c r="E86">
        <f ca="1"/>
        <v>0</v>
      </c>
      <c r="F86">
        <f ca="1"/>
        <v>0</v>
      </c>
    </row>
    <row r="87" spans="1:6" x14ac:dyDescent="0.35">
      <c r="A87" t="str">
        <f ca="1"/>
        <v>shindea</v>
      </c>
      <c r="C87">
        <f ca="1"/>
        <v>0</v>
      </c>
      <c r="D87">
        <f ca="1"/>
        <v>0</v>
      </c>
      <c r="E87">
        <f ca="1"/>
        <v>0</v>
      </c>
      <c r="F87">
        <f ca="1"/>
        <v>0</v>
      </c>
    </row>
    <row r="88" spans="1:6" x14ac:dyDescent="0.35">
      <c r="A88" t="str">
        <f ca="1"/>
        <v>devastha</v>
      </c>
      <c r="C88">
        <f ca="1"/>
        <v>0</v>
      </c>
      <c r="D88">
        <f ca="1"/>
        <v>0</v>
      </c>
      <c r="E88">
        <f ca="1"/>
        <v>0</v>
      </c>
      <c r="F88">
        <f ca="1"/>
        <v>0</v>
      </c>
    </row>
    <row r="89" spans="1:6" x14ac:dyDescent="0.35">
      <c r="A89" t="str">
        <f ca="1"/>
        <v>bhuyansu</v>
      </c>
      <c r="C89">
        <f ca="1"/>
        <v>0</v>
      </c>
      <c r="D89">
        <f ca="1"/>
        <v>0</v>
      </c>
      <c r="E89">
        <f ca="1"/>
        <v>0</v>
      </c>
      <c r="F89">
        <f ca="1"/>
        <v>0</v>
      </c>
    </row>
    <row r="90" spans="1:6" x14ac:dyDescent="0.35">
      <c r="A90" t="str">
        <f ca="1"/>
        <v>sykam</v>
      </c>
      <c r="C90">
        <f ca="1"/>
        <v>0</v>
      </c>
      <c r="D90">
        <f ca="1"/>
        <v>0</v>
      </c>
      <c r="E90">
        <f ca="1"/>
        <v>0</v>
      </c>
      <c r="F90">
        <f ca="1"/>
        <v>0</v>
      </c>
    </row>
    <row r="91" spans="1:6" x14ac:dyDescent="0.35">
      <c r="A91" t="str">
        <f ca="1"/>
        <v>jyotia</v>
      </c>
      <c r="C91">
        <f ca="1"/>
        <v>0</v>
      </c>
      <c r="D91">
        <f ca="1"/>
        <v>0</v>
      </c>
      <c r="E91">
        <f ca="1"/>
        <v>0</v>
      </c>
      <c r="F91">
        <f ca="1"/>
        <v>0</v>
      </c>
    </row>
    <row r="92" spans="1:6" x14ac:dyDescent="0.35">
      <c r="A92" t="str">
        <f ca="1"/>
        <v>vadariya</v>
      </c>
      <c r="C92">
        <f ca="1"/>
        <v>0</v>
      </c>
      <c r="D92">
        <f ca="1"/>
        <v>0</v>
      </c>
      <c r="E92">
        <f ca="1"/>
        <v>0</v>
      </c>
      <c r="F92">
        <f ca="1"/>
        <v>0</v>
      </c>
    </row>
    <row r="93" spans="1:6" x14ac:dyDescent="0.35">
      <c r="A93" t="str">
        <f ca="1"/>
        <v>chaturay</v>
      </c>
      <c r="C93">
        <f ca="1"/>
        <v>0</v>
      </c>
      <c r="D93">
        <f ca="1"/>
        <v>0</v>
      </c>
      <c r="E93">
        <f ca="1"/>
        <v>0</v>
      </c>
      <c r="F93">
        <f ca="1"/>
        <v>0</v>
      </c>
    </row>
    <row r="94" spans="1:6" x14ac:dyDescent="0.35">
      <c r="A94" t="str">
        <f ca="1"/>
        <v>srivastk</v>
      </c>
      <c r="C94">
        <f ca="1"/>
        <v>0</v>
      </c>
      <c r="D94">
        <f ca="1"/>
        <v>0</v>
      </c>
      <c r="E94">
        <f ca="1"/>
        <v>0</v>
      </c>
      <c r="F94">
        <f ca="1"/>
        <v>0</v>
      </c>
    </row>
    <row r="95" spans="1:6" x14ac:dyDescent="0.35">
      <c r="A95" t="str">
        <f ca="1"/>
        <v>nayakab</v>
      </c>
      <c r="C95">
        <f ca="1"/>
        <v>0</v>
      </c>
      <c r="D95">
        <f ca="1"/>
        <v>0</v>
      </c>
      <c r="E95">
        <f ca="1"/>
        <v>0</v>
      </c>
      <c r="F95">
        <f ca="1"/>
        <v>0</v>
      </c>
    </row>
    <row r="96" spans="1:6" x14ac:dyDescent="0.35">
      <c r="A96" t="str">
        <f ca="1"/>
        <v>subrsua</v>
      </c>
      <c r="C96">
        <f ca="1"/>
        <v>0</v>
      </c>
      <c r="D96">
        <f ca="1"/>
        <v>0</v>
      </c>
      <c r="E96">
        <f ca="1"/>
        <v>0</v>
      </c>
      <c r="F96">
        <f ca="1"/>
        <v>0</v>
      </c>
    </row>
    <row r="97" spans="1:6" x14ac:dyDescent="0.35">
      <c r="A97" t="str">
        <f ca="1"/>
        <v>mjadhav</v>
      </c>
      <c r="C97">
        <f ca="1"/>
        <v>0</v>
      </c>
      <c r="D97">
        <f ca="1"/>
        <v>0</v>
      </c>
      <c r="E97">
        <f ca="1"/>
        <v>0</v>
      </c>
      <c r="F97">
        <f ca="1"/>
        <v>0</v>
      </c>
    </row>
    <row r="98" spans="1:6" x14ac:dyDescent="0.35">
      <c r="A98" t="str">
        <f ca="1"/>
        <v>sinharu</v>
      </c>
      <c r="C98">
        <f ca="1"/>
        <v>0</v>
      </c>
      <c r="D98">
        <f ca="1"/>
        <v>0</v>
      </c>
      <c r="E98">
        <f ca="1"/>
        <v>0</v>
      </c>
      <c r="F98">
        <f ca="1"/>
        <v>0</v>
      </c>
    </row>
    <row r="99" spans="1:6" x14ac:dyDescent="0.35">
      <c r="A99" t="str">
        <f ca="1"/>
        <v>jmclaughlan</v>
      </c>
      <c r="C99">
        <f ca="1"/>
        <v>0</v>
      </c>
      <c r="D99">
        <f ca="1"/>
        <v>0</v>
      </c>
      <c r="E99">
        <f ca="1"/>
        <v>0</v>
      </c>
      <c r="F99">
        <f ca="1"/>
        <v>0</v>
      </c>
    </row>
    <row r="100" spans="1:6" x14ac:dyDescent="0.35">
      <c r="A100" t="str">
        <f ca="1"/>
        <v>dixitr</v>
      </c>
      <c r="C100">
        <f ca="1"/>
        <v>0</v>
      </c>
      <c r="D100">
        <f ca="1"/>
        <v>0</v>
      </c>
      <c r="E100">
        <f ca="1"/>
        <v>0</v>
      </c>
      <c r="F100">
        <f ca="1"/>
        <v>0</v>
      </c>
    </row>
    <row r="101" spans="1:6" x14ac:dyDescent="0.35">
      <c r="A101" t="str">
        <f ca="1"/>
        <v>kaurjag</v>
      </c>
      <c r="C101">
        <f ca="1"/>
        <v>0</v>
      </c>
      <c r="D101">
        <f ca="1"/>
        <v>0</v>
      </c>
      <c r="E101">
        <f ca="1"/>
        <v>0</v>
      </c>
      <c r="F101">
        <f ca="1"/>
        <v>0</v>
      </c>
    </row>
    <row r="102" spans="1:6" x14ac:dyDescent="0.35">
      <c r="A102" t="str">
        <f ca="1"/>
        <v>muralida</v>
      </c>
      <c r="C102">
        <f ca="1"/>
        <v>0</v>
      </c>
      <c r="D102">
        <f ca="1"/>
        <v>0</v>
      </c>
      <c r="E102">
        <f ca="1"/>
        <v>0</v>
      </c>
      <c r="F102">
        <f ca="1"/>
        <v>0</v>
      </c>
    </row>
    <row r="103" spans="1:6" x14ac:dyDescent="0.35">
      <c r="A103" t="str">
        <f ca="1"/>
        <v>mukhtar</v>
      </c>
      <c r="C103">
        <f ca="1"/>
        <v>0</v>
      </c>
      <c r="D103">
        <f ca="1"/>
        <v>0</v>
      </c>
      <c r="E103">
        <f ca="1"/>
        <v>0</v>
      </c>
      <c r="F103">
        <f ca="1"/>
        <v>0</v>
      </c>
    </row>
    <row r="104" spans="1:6" x14ac:dyDescent="0.35">
      <c r="A104" t="str">
        <f ca="1"/>
        <v>ajanardhan</v>
      </c>
      <c r="C104">
        <f ca="1"/>
        <v>0</v>
      </c>
      <c r="D104">
        <f ca="1"/>
        <v>0</v>
      </c>
      <c r="E104">
        <f ca="1"/>
        <v>0</v>
      </c>
      <c r="F104">
        <f ca="1"/>
        <v>0</v>
      </c>
    </row>
    <row r="105" spans="1:6" x14ac:dyDescent="0.35">
      <c r="A105" t="str">
        <f ca="1"/>
        <v>devo</v>
      </c>
      <c r="C105">
        <f ca="1"/>
        <v>0</v>
      </c>
      <c r="D105">
        <f ca="1"/>
        <v>0</v>
      </c>
      <c r="E105">
        <f ca="1"/>
        <v>0</v>
      </c>
      <c r="F105">
        <f ca="1"/>
        <v>0</v>
      </c>
    </row>
    <row r="106" spans="1:6" x14ac:dyDescent="0.35">
      <c r="A106" t="str">
        <f ca="1"/>
        <v>parthibs</v>
      </c>
      <c r="C106">
        <f ca="1"/>
        <v>0</v>
      </c>
      <c r="D106">
        <f ca="1"/>
        <v>0</v>
      </c>
      <c r="E106">
        <f ca="1"/>
        <v>0</v>
      </c>
      <c r="F106">
        <f ca="1"/>
        <v>0</v>
      </c>
    </row>
    <row r="107" spans="1:6" x14ac:dyDescent="0.35">
      <c r="A107" t="str">
        <f ca="1"/>
        <v>ganapasr</v>
      </c>
      <c r="C107">
        <f ca="1"/>
        <v>0</v>
      </c>
      <c r="D107">
        <f ca="1"/>
        <v>0</v>
      </c>
      <c r="E107">
        <f ca="1"/>
        <v>0</v>
      </c>
      <c r="F107">
        <f ca="1"/>
        <v>0</v>
      </c>
    </row>
    <row r="108" spans="1:6" x14ac:dyDescent="0.35">
      <c r="A108" t="str">
        <f ca="1"/>
        <v>nmaletati</v>
      </c>
      <c r="C108">
        <f ca="1"/>
        <v>0</v>
      </c>
      <c r="D108">
        <f ca="1"/>
        <v>0</v>
      </c>
      <c r="E108">
        <f ca="1"/>
        <v>0</v>
      </c>
      <c r="F108">
        <f ca="1"/>
        <v>0</v>
      </c>
    </row>
    <row r="109" spans="1:6" x14ac:dyDescent="0.35">
      <c r="A109" t="str">
        <f ca="1"/>
        <v>chauhaaj</v>
      </c>
      <c r="C109">
        <f ca="1"/>
        <v>0</v>
      </c>
      <c r="D109">
        <f ca="1"/>
        <v>0</v>
      </c>
      <c r="E109">
        <f ca="1"/>
        <v>0</v>
      </c>
      <c r="F109">
        <f ca="1"/>
        <v>0</v>
      </c>
    </row>
    <row r="110" spans="1:6" x14ac:dyDescent="0.35">
      <c r="A110" t="str">
        <f ca="1"/>
        <v>priyankp</v>
      </c>
      <c r="C110">
        <f ca="1"/>
        <v>0</v>
      </c>
      <c r="D110">
        <f ca="1"/>
        <v>0</v>
      </c>
      <c r="E110">
        <f ca="1"/>
        <v>0</v>
      </c>
      <c r="F110">
        <f ca="1"/>
        <v>0</v>
      </c>
    </row>
    <row r="111" spans="1:6" x14ac:dyDescent="0.35">
      <c r="A111" t="str">
        <f ca="1"/>
        <v>sharmmah</v>
      </c>
      <c r="C111">
        <f ca="1"/>
        <v>0</v>
      </c>
      <c r="D111">
        <f ca="1"/>
        <v>0</v>
      </c>
      <c r="E111">
        <f ca="1"/>
        <v>0</v>
      </c>
      <c r="F111">
        <f ca="1"/>
        <v>0</v>
      </c>
    </row>
    <row r="112" spans="1:6" x14ac:dyDescent="0.35">
      <c r="A112" t="str">
        <f ca="1"/>
        <v>khadivi</v>
      </c>
      <c r="C112">
        <f ca="1"/>
        <v>0</v>
      </c>
      <c r="D112">
        <f ca="1"/>
        <v>0</v>
      </c>
      <c r="E112">
        <f ca="1"/>
        <v>0</v>
      </c>
      <c r="F112">
        <f ca="1"/>
        <v>0</v>
      </c>
    </row>
    <row r="113" spans="1:6" x14ac:dyDescent="0.35">
      <c r="A113" t="str">
        <f ca="1"/>
        <v>patilsam</v>
      </c>
      <c r="C113">
        <f ca="1"/>
        <v>0</v>
      </c>
      <c r="D113">
        <f ca="1"/>
        <v>0</v>
      </c>
      <c r="E113">
        <f ca="1"/>
        <v>0</v>
      </c>
      <c r="F113">
        <f ca="1"/>
        <v>0</v>
      </c>
    </row>
    <row r="114" spans="1:6" x14ac:dyDescent="0.35">
      <c r="A114" t="str">
        <f ca="1"/>
        <v>patilrav</v>
      </c>
      <c r="C114">
        <f ca="1"/>
        <v>0</v>
      </c>
      <c r="D114">
        <f ca="1"/>
        <v>0</v>
      </c>
      <c r="E114">
        <f ca="1"/>
        <v>0</v>
      </c>
      <c r="F114">
        <f ca="1"/>
        <v>0</v>
      </c>
    </row>
    <row r="115" spans="1:6" x14ac:dyDescent="0.35">
      <c r="A115" t="str">
        <f ca="1"/>
        <v>thandaps</v>
      </c>
      <c r="C115">
        <f ca="1"/>
        <v>0</v>
      </c>
      <c r="D115">
        <f ca="1"/>
        <v>0</v>
      </c>
      <c r="E115">
        <f ca="1"/>
        <v>0</v>
      </c>
      <c r="F115">
        <f ca="1"/>
        <v>0</v>
      </c>
    </row>
    <row r="116" spans="1:6" x14ac:dyDescent="0.35">
      <c r="A116" t="str">
        <f ca="1"/>
        <v>parjane</v>
      </c>
      <c r="C116">
        <f ca="1"/>
        <v>0</v>
      </c>
      <c r="D116">
        <f ca="1"/>
        <v>0</v>
      </c>
      <c r="E116">
        <f ca="1"/>
        <v>0</v>
      </c>
      <c r="F116">
        <f ca="1"/>
        <v>0</v>
      </c>
    </row>
    <row r="117" spans="1:6" x14ac:dyDescent="0.35">
      <c r="A117" t="str">
        <f ca="1"/>
        <v>pawar</v>
      </c>
      <c r="C117">
        <f ca="1"/>
        <v>0</v>
      </c>
      <c r="D117">
        <f ca="1"/>
        <v>0</v>
      </c>
      <c r="E117">
        <f ca="1"/>
        <v>0</v>
      </c>
      <c r="F117">
        <f ca="1"/>
        <v>0</v>
      </c>
    </row>
    <row r="118" spans="1:6" x14ac:dyDescent="0.35">
      <c r="A118" t="str">
        <f ca="1"/>
        <v>vermap</v>
      </c>
      <c r="C118">
        <f ca="1"/>
        <v>0</v>
      </c>
      <c r="D118">
        <f ca="1"/>
        <v>0</v>
      </c>
      <c r="E118">
        <f ca="1"/>
        <v>0</v>
      </c>
      <c r="F118">
        <f ca="1"/>
        <v>0</v>
      </c>
    </row>
    <row r="119" spans="1:6" x14ac:dyDescent="0.35">
      <c r="A119" t="str">
        <f ca="1"/>
        <v>thirugnv</v>
      </c>
      <c r="C119">
        <f ca="1"/>
        <v>0</v>
      </c>
      <c r="D119">
        <f ca="1"/>
        <v>0</v>
      </c>
      <c r="E119">
        <f ca="1"/>
        <v>0</v>
      </c>
      <c r="F119">
        <f ca="1"/>
        <v>0</v>
      </c>
    </row>
    <row r="120" spans="1:6" x14ac:dyDescent="0.35">
      <c r="A120" t="str">
        <f ca="1"/>
        <v>ghosalks</v>
      </c>
      <c r="C120">
        <f ca="1"/>
        <v>0</v>
      </c>
      <c r="D120">
        <f ca="1"/>
        <v>0</v>
      </c>
      <c r="E120">
        <f ca="1"/>
        <v>0</v>
      </c>
      <c r="F120">
        <f ca="1"/>
        <v>0</v>
      </c>
    </row>
    <row r="121" spans="1:6" x14ac:dyDescent="0.35">
      <c r="A121" t="str">
        <f ca="1"/>
        <v>kolhatka</v>
      </c>
      <c r="C121">
        <f ca="1"/>
        <v>0</v>
      </c>
      <c r="D121">
        <f ca="1"/>
        <v>0</v>
      </c>
      <c r="E121">
        <f ca="1"/>
        <v>0</v>
      </c>
      <c r="F121">
        <f ca="1"/>
        <v>0</v>
      </c>
    </row>
    <row r="122" spans="1:6" x14ac:dyDescent="0.35">
      <c r="A122" t="str">
        <f ca="1"/>
        <v>sankarm</v>
      </c>
      <c r="C122">
        <f ca="1"/>
        <v>0</v>
      </c>
      <c r="D122">
        <f ca="1"/>
        <v>0</v>
      </c>
      <c r="E122">
        <f ca="1"/>
        <v>0</v>
      </c>
      <c r="F122">
        <f ca="1"/>
        <v>0</v>
      </c>
    </row>
    <row r="123" spans="1:6" x14ac:dyDescent="0.35">
      <c r="A123" t="str">
        <f ca="1"/>
        <v>swainra</v>
      </c>
      <c r="C123">
        <f ca="1"/>
        <v>0</v>
      </c>
      <c r="D123">
        <f ca="1"/>
        <v>0</v>
      </c>
      <c r="E123">
        <f ca="1"/>
        <v>0</v>
      </c>
      <c r="F123">
        <f ca="1"/>
        <v>0</v>
      </c>
    </row>
    <row r="124" spans="1:6" x14ac:dyDescent="0.35">
      <c r="A124" t="str">
        <f ca="1"/>
        <v>durdu</v>
      </c>
      <c r="C124">
        <f ca="1"/>
        <v>0</v>
      </c>
      <c r="D124">
        <f ca="1"/>
        <v>0</v>
      </c>
      <c r="E124">
        <f ca="1"/>
        <v>0</v>
      </c>
      <c r="F124">
        <f ca="1"/>
        <v>0</v>
      </c>
    </row>
    <row r="125" spans="1:6" x14ac:dyDescent="0.35">
      <c r="A125" t="str">
        <f ca="1"/>
        <v>patelhel</v>
      </c>
      <c r="C125">
        <f ca="1"/>
        <v>0</v>
      </c>
      <c r="D125">
        <f ca="1"/>
        <v>0</v>
      </c>
      <c r="E125">
        <f ca="1"/>
        <v>0</v>
      </c>
      <c r="F125">
        <f ca="1"/>
        <v>0</v>
      </c>
    </row>
    <row r="126" spans="1:6" x14ac:dyDescent="0.35">
      <c r="A126" t="str">
        <f ca="1"/>
        <v>jilla</v>
      </c>
      <c r="C126">
        <f ca="1"/>
        <v>0</v>
      </c>
      <c r="D126">
        <f ca="1"/>
        <v>0</v>
      </c>
      <c r="E126">
        <f ca="1"/>
        <v>0</v>
      </c>
      <c r="F126">
        <f ca="1"/>
        <v>0</v>
      </c>
    </row>
    <row r="127" spans="1:6" x14ac:dyDescent="0.35">
      <c r="A127" t="str">
        <f ca="1"/>
        <v>gnanasut</v>
      </c>
      <c r="C127">
        <f ca="1"/>
        <v>0</v>
      </c>
      <c r="D127">
        <f ca="1"/>
        <v>0</v>
      </c>
      <c r="E127">
        <f ca="1"/>
        <v>0</v>
      </c>
      <c r="F127">
        <f ca="1"/>
        <v>0</v>
      </c>
    </row>
    <row r="128" spans="1:6" x14ac:dyDescent="0.35">
      <c r="A128" t="str">
        <f ca="1"/>
        <v>mahapaba</v>
      </c>
      <c r="C128">
        <f ca="1"/>
        <v>0</v>
      </c>
      <c r="D128">
        <f ca="1"/>
        <v>0</v>
      </c>
      <c r="E128">
        <f ca="1"/>
        <v>0</v>
      </c>
      <c r="F128">
        <f ca="1"/>
        <v>0</v>
      </c>
    </row>
    <row r="129" spans="1:6" x14ac:dyDescent="0.35">
      <c r="A129" t="str">
        <f ca="1"/>
        <v>jairmod</v>
      </c>
      <c r="C129">
        <f ca="1"/>
        <v>0</v>
      </c>
      <c r="D129">
        <f ca="1"/>
        <v>0</v>
      </c>
      <c r="E129">
        <f ca="1"/>
        <v>0</v>
      </c>
      <c r="F129">
        <f ca="1"/>
        <v>0</v>
      </c>
    </row>
    <row r="130" spans="1:6" x14ac:dyDescent="0.35">
      <c r="A130" t="str">
        <f ca="1"/>
        <v>jainhar</v>
      </c>
      <c r="C130">
        <f ca="1"/>
        <v>0</v>
      </c>
      <c r="D130">
        <f ca="1"/>
        <v>0</v>
      </c>
      <c r="E130">
        <f ca="1"/>
        <v>0</v>
      </c>
      <c r="F130">
        <f ca="1"/>
        <v>0</v>
      </c>
    </row>
    <row r="131" spans="1:6" x14ac:dyDescent="0.35">
      <c r="A131" t="str">
        <f ca="1"/>
        <v>trinityf</v>
      </c>
      <c r="C131">
        <f ca="1"/>
        <v>0</v>
      </c>
      <c r="D131">
        <f ca="1"/>
        <v>0</v>
      </c>
      <c r="E131">
        <f ca="1"/>
        <v>0</v>
      </c>
      <c r="F131">
        <f ca="1"/>
        <v>0</v>
      </c>
    </row>
    <row r="132" spans="1:6" x14ac:dyDescent="0.35">
      <c r="A132" t="str">
        <f ca="1"/>
        <v>chandras</v>
      </c>
      <c r="C132">
        <f ca="1"/>
        <v>0</v>
      </c>
      <c r="D132">
        <f ca="1"/>
        <v>0</v>
      </c>
      <c r="E132">
        <f ca="1"/>
        <v>0</v>
      </c>
      <c r="F132">
        <f ca="1"/>
        <v>0</v>
      </c>
    </row>
    <row r="133" spans="1:6" x14ac:dyDescent="0.35">
      <c r="A133" t="str">
        <f ca="1"/>
        <v>vartak</v>
      </c>
      <c r="C133">
        <f ca="1"/>
        <v>0</v>
      </c>
      <c r="D133">
        <f ca="1"/>
        <v>0</v>
      </c>
      <c r="E133">
        <f ca="1"/>
        <v>0</v>
      </c>
      <c r="F133">
        <f ca="1"/>
        <v>0</v>
      </c>
    </row>
    <row r="134" spans="1:6" x14ac:dyDescent="0.35">
      <c r="A134" t="str">
        <f ca="1"/>
        <v>ragala</v>
      </c>
      <c r="C134">
        <f ca="1"/>
        <v>0</v>
      </c>
      <c r="D134">
        <f ca="1"/>
        <v>0</v>
      </c>
      <c r="E134">
        <f ca="1"/>
        <v>0</v>
      </c>
      <c r="F134">
        <f ca="1"/>
        <v>0</v>
      </c>
    </row>
    <row r="135" spans="1:6" x14ac:dyDescent="0.35">
      <c r="A135" t="str">
        <f ca="1"/>
        <v>sharsaum</v>
      </c>
      <c r="C135">
        <f ca="1"/>
        <v>0</v>
      </c>
      <c r="D135">
        <f ca="1"/>
        <v>0</v>
      </c>
      <c r="E135">
        <f ca="1"/>
        <v>0</v>
      </c>
      <c r="F135">
        <f ca="1"/>
        <v>0</v>
      </c>
    </row>
    <row r="136" spans="1:6" x14ac:dyDescent="0.35">
      <c r="A136" t="str">
        <f ca="1"/>
        <v>shewale</v>
      </c>
      <c r="C136">
        <f ca="1"/>
        <v>0</v>
      </c>
      <c r="D136">
        <f ca="1"/>
        <v>0</v>
      </c>
      <c r="E136">
        <f ca="1"/>
        <v>0</v>
      </c>
      <c r="F136">
        <f ca="1"/>
        <v>0</v>
      </c>
    </row>
    <row r="137" spans="1:6" x14ac:dyDescent="0.35">
      <c r="A137" t="str">
        <f ca="1"/>
        <v>raneab</v>
      </c>
      <c r="C137">
        <f ca="1"/>
        <v>0</v>
      </c>
      <c r="D137">
        <f ca="1"/>
        <v>0</v>
      </c>
      <c r="E137">
        <f ca="1"/>
        <v>0</v>
      </c>
      <c r="F137">
        <f ca="1"/>
        <v>0</v>
      </c>
    </row>
    <row r="138" spans="1:6" x14ac:dyDescent="0.35">
      <c r="A138" t="str">
        <f ca="1"/>
        <v>mody</v>
      </c>
      <c r="C138">
        <f ca="1"/>
        <v>0</v>
      </c>
      <c r="D138">
        <f ca="1"/>
        <v>0</v>
      </c>
      <c r="E138">
        <f ca="1"/>
        <v>0</v>
      </c>
      <c r="F138">
        <f ca="1"/>
        <v>0</v>
      </c>
    </row>
    <row r="139" spans="1:6" x14ac:dyDescent="0.35">
      <c r="A139" t="str">
        <f ca="1"/>
        <v>nairv</v>
      </c>
      <c r="C139">
        <f ca="1"/>
        <v>0</v>
      </c>
      <c r="D139">
        <f ca="1"/>
        <v>0</v>
      </c>
      <c r="E139">
        <f ca="1"/>
        <v>0</v>
      </c>
      <c r="F139">
        <f ca="1"/>
        <v>0</v>
      </c>
    </row>
    <row r="140" spans="1:6" x14ac:dyDescent="0.35">
      <c r="A140" t="str">
        <f ca="1"/>
        <v>pittalan</v>
      </c>
      <c r="C140">
        <f ca="1"/>
        <v>0</v>
      </c>
      <c r="D140">
        <f ca="1"/>
        <v>0</v>
      </c>
      <c r="E140">
        <f ca="1"/>
        <v>0</v>
      </c>
      <c r="F140">
        <f ca="1"/>
        <v>0</v>
      </c>
    </row>
    <row r="141" spans="1:6" x14ac:dyDescent="0.35">
      <c r="A141" t="str">
        <f ca="1"/>
        <v>tibrewal</v>
      </c>
      <c r="C141">
        <f ca="1"/>
        <v>0</v>
      </c>
      <c r="D141">
        <f ca="1"/>
        <v>0</v>
      </c>
      <c r="E141">
        <f ca="1"/>
        <v>0</v>
      </c>
      <c r="F141">
        <f ca="1"/>
        <v>0</v>
      </c>
    </row>
    <row r="142" spans="1:6" x14ac:dyDescent="0.35">
      <c r="A142" t="str">
        <f ca="1"/>
        <v>bandv</v>
      </c>
      <c r="C142">
        <f ca="1"/>
        <v>0</v>
      </c>
      <c r="D142">
        <f ca="1"/>
        <v>0</v>
      </c>
      <c r="E142">
        <f ca="1"/>
        <v>0</v>
      </c>
      <c r="F142">
        <f ca="1"/>
        <v>0</v>
      </c>
    </row>
    <row r="143" spans="1:6" x14ac:dyDescent="0.35">
      <c r="A143" t="str">
        <f ca="1"/>
        <v>ponnusak</v>
      </c>
      <c r="C143">
        <f ca="1"/>
        <v>0</v>
      </c>
      <c r="D143">
        <f ca="1"/>
        <v>0</v>
      </c>
      <c r="E143">
        <f ca="1"/>
        <v>0</v>
      </c>
      <c r="F143">
        <f ca="1"/>
        <v>0</v>
      </c>
    </row>
    <row r="144" spans="1:6" x14ac:dyDescent="0.35">
      <c r="A144" t="str">
        <f ca="1"/>
        <v>komati</v>
      </c>
      <c r="C144">
        <f ca="1"/>
        <v>0</v>
      </c>
      <c r="D144">
        <f ca="1"/>
        <v>0</v>
      </c>
      <c r="E144">
        <f ca="1"/>
        <v>0</v>
      </c>
      <c r="F144">
        <f ca="1"/>
        <v>0</v>
      </c>
    </row>
    <row r="145" spans="1:6" x14ac:dyDescent="0.35">
      <c r="A145" t="str">
        <f ca="1"/>
        <v>shirode</v>
      </c>
      <c r="C145">
        <f ca="1"/>
        <v>0</v>
      </c>
      <c r="D145">
        <f ca="1"/>
        <v>0</v>
      </c>
      <c r="E145">
        <f ca="1"/>
        <v>0</v>
      </c>
      <c r="F145">
        <f ca="1"/>
        <v>0</v>
      </c>
    </row>
    <row r="146" spans="1:6" x14ac:dyDescent="0.35">
      <c r="A146" t="str">
        <f ca="1"/>
        <v>farooquo</v>
      </c>
      <c r="C146">
        <f ca="1"/>
        <v>0</v>
      </c>
      <c r="D146">
        <f ca="1"/>
        <v>0</v>
      </c>
      <c r="E146">
        <f ca="1"/>
        <v>0</v>
      </c>
      <c r="F146">
        <f ca="1"/>
        <v>0</v>
      </c>
    </row>
    <row r="147" spans="1:6" x14ac:dyDescent="0.35">
      <c r="A147" t="str">
        <f ca="1"/>
        <v>kulkarnn</v>
      </c>
      <c r="C147">
        <f ca="1"/>
        <v>0</v>
      </c>
      <c r="D147">
        <f ca="1"/>
        <v>0</v>
      </c>
      <c r="E147">
        <f ca="1"/>
        <v>0</v>
      </c>
      <c r="F147">
        <f ca="1"/>
        <v>0</v>
      </c>
    </row>
    <row r="148" spans="1:6" x14ac:dyDescent="0.35">
      <c r="A148" t="str">
        <f ca="1"/>
        <v>mahana</v>
      </c>
      <c r="C148">
        <f ca="1"/>
        <v>0</v>
      </c>
      <c r="D148">
        <f ca="1"/>
        <v>0</v>
      </c>
      <c r="E148">
        <f ca="1"/>
        <v>0</v>
      </c>
      <c r="F148">
        <f ca="1"/>
        <v>0</v>
      </c>
    </row>
    <row r="149" spans="1:6" x14ac:dyDescent="0.35">
      <c r="A149" t="str">
        <f ca="1"/>
        <v>kumaradh</v>
      </c>
      <c r="C149">
        <f ca="1"/>
        <v>0</v>
      </c>
      <c r="D149">
        <f ca="1"/>
        <v>0</v>
      </c>
      <c r="E149">
        <f ca="1"/>
        <v>0</v>
      </c>
      <c r="F149">
        <f ca="1"/>
        <v>0</v>
      </c>
    </row>
  </sheetData>
  <autoFilter ref="B1:B21" xr:uid="{13025D59-8143-46BC-B375-52D1416213AC}"/>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DAFBF-5152-4D35-BD2A-9AE4D27060BE}">
  <sheetPr codeName="Sheet22"/>
  <dimension ref="A1:B7"/>
  <sheetViews>
    <sheetView workbookViewId="0">
      <selection activeCell="E5" sqref="E5"/>
    </sheetView>
  </sheetViews>
  <sheetFormatPr defaultRowHeight="14.4" x14ac:dyDescent="0.35"/>
  <cols>
    <col min="1" max="1" width="16" bestFit="1" customWidth="1"/>
    <col min="2" max="2" width="11.6640625" bestFit="1" customWidth="1"/>
  </cols>
  <sheetData>
    <row r="1" spans="1:2" x14ac:dyDescent="0.35">
      <c r="A1" t="s">
        <v>234</v>
      </c>
      <c r="B1" t="s">
        <v>207</v>
      </c>
    </row>
    <row r="2" spans="1:2" x14ac:dyDescent="0.35">
      <c r="A2" t="s">
        <v>164</v>
      </c>
      <c r="B2" t="str">
        <f>"C" &amp; MATCH(A2,DSR!A:A,0)</f>
        <v>C8</v>
      </c>
    </row>
    <row r="3" spans="1:2" x14ac:dyDescent="0.35">
      <c r="A3" t="s">
        <v>235</v>
      </c>
      <c r="B3" t="str">
        <f>"A" &amp; MATCH(A3,DSR!A:A,0)+1</f>
        <v>A11</v>
      </c>
    </row>
    <row r="4" spans="1:2" x14ac:dyDescent="0.35">
      <c r="A4" t="s">
        <v>170</v>
      </c>
      <c r="B4" t="str">
        <f ca="1">"C" &amp; MATCH(A4,DSR!A:A,0)</f>
        <v>C47</v>
      </c>
    </row>
    <row r="5" spans="1:2" x14ac:dyDescent="0.35">
      <c r="A5" t="s">
        <v>189</v>
      </c>
      <c r="B5" t="str">
        <f>"A" &amp; MATCH(A5,DSR!A:A,0)+1</f>
        <v>A19</v>
      </c>
    </row>
    <row r="6" spans="1:2" x14ac:dyDescent="0.35">
      <c r="A6" t="s">
        <v>190</v>
      </c>
      <c r="B6" t="str">
        <f ca="1">"C" &amp; MATCH(A6,DSR!C:C,0)+1</f>
        <v>C19</v>
      </c>
    </row>
    <row r="7" spans="1:2" x14ac:dyDescent="0.35">
      <c r="A7" t="s">
        <v>191</v>
      </c>
      <c r="B7" t="str">
        <f>"E" &amp; MATCH(A7,DSR!E:E,0)+1</f>
        <v>E19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1CCEC-57E3-481E-A7DE-AED079E27DB7}">
  <sheetPr codeName="Sheet14"/>
  <dimension ref="A1:A7"/>
  <sheetViews>
    <sheetView workbookViewId="0">
      <selection activeCell="A11" sqref="A11"/>
    </sheetView>
  </sheetViews>
  <sheetFormatPr defaultRowHeight="14.4" x14ac:dyDescent="0.35"/>
  <cols>
    <col min="1" max="1" width="115.88671875" bestFit="1" customWidth="1"/>
  </cols>
  <sheetData>
    <row r="1" spans="1:1" x14ac:dyDescent="0.35">
      <c r="A1" t="s">
        <v>93</v>
      </c>
    </row>
    <row r="2" spans="1:1" x14ac:dyDescent="0.35">
      <c r="A2" t="s">
        <v>94</v>
      </c>
    </row>
    <row r="3" spans="1:1" x14ac:dyDescent="0.35">
      <c r="A3" t="s">
        <v>95</v>
      </c>
    </row>
    <row r="4" spans="1:1" x14ac:dyDescent="0.35">
      <c r="A4" t="s">
        <v>96</v>
      </c>
    </row>
    <row r="5" spans="1:1" x14ac:dyDescent="0.35">
      <c r="A5" t="s">
        <v>97</v>
      </c>
    </row>
    <row r="6" spans="1:1" x14ac:dyDescent="0.35">
      <c r="A6" t="s">
        <v>98</v>
      </c>
    </row>
    <row r="7" spans="1:1" x14ac:dyDescent="0.35">
      <c r="A7" t="s">
        <v>99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C6B95-B5FF-4780-A501-E97D4040BF0C}">
  <sheetPr codeName="Sheet4"/>
  <dimension ref="A1:G44"/>
  <sheetViews>
    <sheetView topLeftCell="A6" workbookViewId="0">
      <selection sqref="A1:G44"/>
    </sheetView>
  </sheetViews>
  <sheetFormatPr defaultRowHeight="14.4" x14ac:dyDescent="0.35"/>
  <cols>
    <col min="1" max="1" width="5.44140625" bestFit="1" customWidth="1"/>
    <col min="2" max="2" width="14" bestFit="1" customWidth="1"/>
    <col min="3" max="3" width="14.6640625" bestFit="1" customWidth="1"/>
    <col min="4" max="4" width="20" bestFit="1" customWidth="1"/>
    <col min="5" max="5" width="16" bestFit="1" customWidth="1"/>
    <col min="6" max="6" width="21.33203125" bestFit="1" customWidth="1"/>
    <col min="7" max="7" width="27" bestFit="1" customWidth="1"/>
  </cols>
  <sheetData>
    <row r="1" spans="1:7" x14ac:dyDescent="0.35">
      <c r="A1" t="s">
        <v>0</v>
      </c>
      <c r="B1" t="s">
        <v>1</v>
      </c>
      <c r="C1" t="s">
        <v>2</v>
      </c>
      <c r="D1" t="s">
        <v>3</v>
      </c>
      <c r="E1" t="s">
        <v>4</v>
      </c>
      <c r="F1" t="s">
        <v>5</v>
      </c>
      <c r="G1" t="s">
        <v>6</v>
      </c>
    </row>
    <row r="2" spans="1:7" x14ac:dyDescent="0.35">
      <c r="A2" t="s">
        <v>230</v>
      </c>
      <c r="B2" t="s">
        <v>102</v>
      </c>
      <c r="C2" t="s">
        <v>262</v>
      </c>
      <c r="D2" t="s">
        <v>263</v>
      </c>
      <c r="E2" t="s">
        <v>7</v>
      </c>
      <c r="F2" t="s">
        <v>8</v>
      </c>
      <c r="G2" t="s">
        <v>9</v>
      </c>
    </row>
    <row r="3" spans="1:7" x14ac:dyDescent="0.35">
      <c r="A3" t="s">
        <v>230</v>
      </c>
      <c r="B3" t="s">
        <v>102</v>
      </c>
      <c r="C3" t="s">
        <v>262</v>
      </c>
      <c r="D3" t="s">
        <v>263</v>
      </c>
      <c r="E3" t="s">
        <v>7</v>
      </c>
      <c r="F3" t="s">
        <v>78</v>
      </c>
      <c r="G3" t="s">
        <v>79</v>
      </c>
    </row>
    <row r="4" spans="1:7" x14ac:dyDescent="0.35">
      <c r="A4" t="s">
        <v>230</v>
      </c>
      <c r="B4" t="s">
        <v>102</v>
      </c>
      <c r="C4" t="s">
        <v>262</v>
      </c>
      <c r="D4" t="s">
        <v>263</v>
      </c>
      <c r="E4" t="s">
        <v>7</v>
      </c>
      <c r="F4" t="s">
        <v>10</v>
      </c>
      <c r="G4" t="s">
        <v>11</v>
      </c>
    </row>
    <row r="5" spans="1:7" x14ac:dyDescent="0.35">
      <c r="A5" t="s">
        <v>230</v>
      </c>
      <c r="B5" t="s">
        <v>102</v>
      </c>
      <c r="C5" t="s">
        <v>262</v>
      </c>
      <c r="D5" t="s">
        <v>263</v>
      </c>
      <c r="E5" t="s">
        <v>7</v>
      </c>
      <c r="F5" t="s">
        <v>16</v>
      </c>
      <c r="G5" t="s">
        <v>17</v>
      </c>
    </row>
    <row r="6" spans="1:7" x14ac:dyDescent="0.35">
      <c r="A6" t="s">
        <v>230</v>
      </c>
      <c r="B6" t="s">
        <v>102</v>
      </c>
      <c r="C6" t="s">
        <v>262</v>
      </c>
      <c r="D6" t="s">
        <v>263</v>
      </c>
      <c r="E6" t="s">
        <v>7</v>
      </c>
      <c r="F6" t="s">
        <v>18</v>
      </c>
      <c r="G6" t="s">
        <v>19</v>
      </c>
    </row>
    <row r="7" spans="1:7" x14ac:dyDescent="0.35">
      <c r="A7" t="s">
        <v>230</v>
      </c>
      <c r="B7" t="s">
        <v>102</v>
      </c>
      <c r="C7" t="s">
        <v>262</v>
      </c>
      <c r="D7" t="s">
        <v>263</v>
      </c>
      <c r="E7" t="s">
        <v>7</v>
      </c>
      <c r="F7" t="s">
        <v>20</v>
      </c>
      <c r="G7" t="s">
        <v>21</v>
      </c>
    </row>
    <row r="8" spans="1:7" x14ac:dyDescent="0.35">
      <c r="A8" t="s">
        <v>230</v>
      </c>
      <c r="B8" t="s">
        <v>102</v>
      </c>
      <c r="C8" t="s">
        <v>262</v>
      </c>
      <c r="D8" t="s">
        <v>263</v>
      </c>
      <c r="E8" t="s">
        <v>7</v>
      </c>
      <c r="F8" t="s">
        <v>22</v>
      </c>
      <c r="G8" t="s">
        <v>23</v>
      </c>
    </row>
    <row r="9" spans="1:7" x14ac:dyDescent="0.35">
      <c r="A9" t="s">
        <v>230</v>
      </c>
      <c r="B9" t="s">
        <v>102</v>
      </c>
      <c r="C9" t="s">
        <v>262</v>
      </c>
      <c r="D9" t="s">
        <v>263</v>
      </c>
      <c r="E9" t="s">
        <v>7</v>
      </c>
      <c r="F9" t="s">
        <v>14</v>
      </c>
      <c r="G9" t="s">
        <v>15</v>
      </c>
    </row>
    <row r="10" spans="1:7" x14ac:dyDescent="0.35">
      <c r="A10" t="s">
        <v>230</v>
      </c>
      <c r="B10" t="s">
        <v>102</v>
      </c>
      <c r="C10" t="s">
        <v>262</v>
      </c>
      <c r="D10" t="s">
        <v>263</v>
      </c>
      <c r="E10" t="s">
        <v>7</v>
      </c>
      <c r="F10" t="s">
        <v>12</v>
      </c>
      <c r="G10" t="s">
        <v>13</v>
      </c>
    </row>
    <row r="11" spans="1:7" x14ac:dyDescent="0.35">
      <c r="A11" t="s">
        <v>230</v>
      </c>
      <c r="B11" t="s">
        <v>102</v>
      </c>
      <c r="C11" t="s">
        <v>262</v>
      </c>
      <c r="D11" t="s">
        <v>263</v>
      </c>
      <c r="E11" t="s">
        <v>7</v>
      </c>
      <c r="F11" t="s">
        <v>24</v>
      </c>
      <c r="G11" t="s">
        <v>80</v>
      </c>
    </row>
    <row r="12" spans="1:7" x14ac:dyDescent="0.35">
      <c r="A12" t="s">
        <v>230</v>
      </c>
      <c r="B12" t="s">
        <v>102</v>
      </c>
      <c r="C12" t="s">
        <v>262</v>
      </c>
      <c r="D12" t="s">
        <v>263</v>
      </c>
      <c r="E12" t="s">
        <v>7</v>
      </c>
      <c r="F12" t="s">
        <v>27</v>
      </c>
      <c r="G12" t="s">
        <v>81</v>
      </c>
    </row>
    <row r="13" spans="1:7" x14ac:dyDescent="0.35">
      <c r="A13" t="s">
        <v>230</v>
      </c>
      <c r="B13" t="s">
        <v>102</v>
      </c>
      <c r="C13" t="s">
        <v>262</v>
      </c>
      <c r="D13" t="s">
        <v>263</v>
      </c>
      <c r="E13" t="s">
        <v>7</v>
      </c>
      <c r="F13" t="s">
        <v>28</v>
      </c>
      <c r="G13" t="s">
        <v>82</v>
      </c>
    </row>
    <row r="14" spans="1:7" x14ac:dyDescent="0.35">
      <c r="A14" t="s">
        <v>230</v>
      </c>
      <c r="B14" t="s">
        <v>102</v>
      </c>
      <c r="C14" t="s">
        <v>262</v>
      </c>
      <c r="D14" t="s">
        <v>263</v>
      </c>
      <c r="E14" t="s">
        <v>7</v>
      </c>
      <c r="F14" t="s">
        <v>91</v>
      </c>
      <c r="G14" t="s">
        <v>92</v>
      </c>
    </row>
    <row r="15" spans="1:7" x14ac:dyDescent="0.35">
      <c r="A15" t="s">
        <v>230</v>
      </c>
      <c r="B15" t="s">
        <v>102</v>
      </c>
      <c r="C15" t="s">
        <v>262</v>
      </c>
      <c r="D15" t="s">
        <v>263</v>
      </c>
      <c r="E15" t="s">
        <v>7</v>
      </c>
      <c r="F15" t="s">
        <v>25</v>
      </c>
      <c r="G15" t="s">
        <v>83</v>
      </c>
    </row>
    <row r="16" spans="1:7" x14ac:dyDescent="0.35">
      <c r="A16" t="s">
        <v>230</v>
      </c>
      <c r="B16" t="s">
        <v>102</v>
      </c>
      <c r="C16" t="s">
        <v>262</v>
      </c>
      <c r="D16" t="s">
        <v>263</v>
      </c>
      <c r="E16" t="s">
        <v>7</v>
      </c>
      <c r="F16" t="s">
        <v>26</v>
      </c>
      <c r="G16" t="s">
        <v>84</v>
      </c>
    </row>
    <row r="17" spans="1:7" x14ac:dyDescent="0.35">
      <c r="A17" t="s">
        <v>230</v>
      </c>
      <c r="B17" t="s">
        <v>102</v>
      </c>
      <c r="C17" t="s">
        <v>262</v>
      </c>
      <c r="D17" t="s">
        <v>263</v>
      </c>
      <c r="E17" t="s">
        <v>29</v>
      </c>
      <c r="F17" t="s">
        <v>30</v>
      </c>
      <c r="G17" t="s">
        <v>31</v>
      </c>
    </row>
    <row r="18" spans="1:7" x14ac:dyDescent="0.35">
      <c r="A18" t="s">
        <v>230</v>
      </c>
      <c r="B18" t="s">
        <v>102</v>
      </c>
      <c r="C18" t="s">
        <v>262</v>
      </c>
      <c r="D18" t="s">
        <v>263</v>
      </c>
      <c r="E18" t="s">
        <v>29</v>
      </c>
      <c r="F18" t="s">
        <v>32</v>
      </c>
      <c r="G18" t="s">
        <v>33</v>
      </c>
    </row>
    <row r="19" spans="1:7" x14ac:dyDescent="0.35">
      <c r="A19" t="s">
        <v>230</v>
      </c>
      <c r="B19" t="s">
        <v>102</v>
      </c>
      <c r="C19" t="s">
        <v>262</v>
      </c>
      <c r="D19" t="s">
        <v>263</v>
      </c>
      <c r="E19" t="s">
        <v>34</v>
      </c>
      <c r="F19" t="s">
        <v>35</v>
      </c>
      <c r="G19" t="s">
        <v>36</v>
      </c>
    </row>
    <row r="20" spans="1:7" x14ac:dyDescent="0.35">
      <c r="A20" t="s">
        <v>230</v>
      </c>
      <c r="B20" t="s">
        <v>102</v>
      </c>
      <c r="C20" t="s">
        <v>262</v>
      </c>
      <c r="D20" t="s">
        <v>263</v>
      </c>
      <c r="E20" t="s">
        <v>34</v>
      </c>
      <c r="F20" t="s">
        <v>37</v>
      </c>
      <c r="G20" t="s">
        <v>38</v>
      </c>
    </row>
    <row r="21" spans="1:7" x14ac:dyDescent="0.35">
      <c r="A21" t="s">
        <v>230</v>
      </c>
      <c r="B21" t="s">
        <v>102</v>
      </c>
      <c r="C21" t="s">
        <v>262</v>
      </c>
      <c r="D21" t="s">
        <v>263</v>
      </c>
      <c r="E21" t="s">
        <v>34</v>
      </c>
      <c r="F21" t="s">
        <v>39</v>
      </c>
      <c r="G21" t="s">
        <v>40</v>
      </c>
    </row>
    <row r="22" spans="1:7" x14ac:dyDescent="0.35">
      <c r="A22" t="s">
        <v>230</v>
      </c>
      <c r="B22" t="s">
        <v>102</v>
      </c>
      <c r="C22" t="s">
        <v>262</v>
      </c>
      <c r="D22" t="s">
        <v>263</v>
      </c>
      <c r="E22" t="s">
        <v>34</v>
      </c>
      <c r="F22" t="s">
        <v>41</v>
      </c>
      <c r="G22" t="s">
        <v>42</v>
      </c>
    </row>
    <row r="23" spans="1:7" x14ac:dyDescent="0.35">
      <c r="A23" t="s">
        <v>230</v>
      </c>
      <c r="B23" t="s">
        <v>102</v>
      </c>
      <c r="C23" t="s">
        <v>262</v>
      </c>
      <c r="D23" t="s">
        <v>263</v>
      </c>
      <c r="E23" t="s">
        <v>34</v>
      </c>
      <c r="F23" t="s">
        <v>43</v>
      </c>
      <c r="G23" t="s">
        <v>44</v>
      </c>
    </row>
    <row r="24" spans="1:7" x14ac:dyDescent="0.35">
      <c r="A24" t="s">
        <v>230</v>
      </c>
      <c r="B24" t="s">
        <v>102</v>
      </c>
      <c r="C24" t="s">
        <v>262</v>
      </c>
      <c r="D24" t="s">
        <v>263</v>
      </c>
      <c r="E24" t="s">
        <v>45</v>
      </c>
      <c r="F24" t="s">
        <v>35</v>
      </c>
      <c r="G24" t="s">
        <v>46</v>
      </c>
    </row>
    <row r="25" spans="1:7" x14ac:dyDescent="0.35">
      <c r="A25" t="s">
        <v>230</v>
      </c>
      <c r="B25" t="s">
        <v>102</v>
      </c>
      <c r="C25" t="s">
        <v>262</v>
      </c>
      <c r="D25" t="s">
        <v>263</v>
      </c>
      <c r="E25" t="s">
        <v>45</v>
      </c>
      <c r="F25" t="s">
        <v>41</v>
      </c>
      <c r="G25" t="s">
        <v>47</v>
      </c>
    </row>
    <row r="26" spans="1:7" x14ac:dyDescent="0.35">
      <c r="A26" t="s">
        <v>230</v>
      </c>
      <c r="B26" t="s">
        <v>102</v>
      </c>
      <c r="C26" t="s">
        <v>262</v>
      </c>
      <c r="D26" t="s">
        <v>263</v>
      </c>
      <c r="E26" t="s">
        <v>45</v>
      </c>
      <c r="F26" t="s">
        <v>39</v>
      </c>
      <c r="G26" t="s">
        <v>48</v>
      </c>
    </row>
    <row r="27" spans="1:7" x14ac:dyDescent="0.35">
      <c r="A27" t="s">
        <v>230</v>
      </c>
      <c r="B27" t="s">
        <v>102</v>
      </c>
      <c r="C27" t="s">
        <v>262</v>
      </c>
      <c r="D27" t="s">
        <v>263</v>
      </c>
      <c r="E27" t="s">
        <v>45</v>
      </c>
      <c r="F27" t="s">
        <v>43</v>
      </c>
      <c r="G27" t="s">
        <v>49</v>
      </c>
    </row>
    <row r="28" spans="1:7" x14ac:dyDescent="0.35">
      <c r="A28" t="s">
        <v>230</v>
      </c>
      <c r="B28" t="s">
        <v>102</v>
      </c>
      <c r="C28" t="s">
        <v>262</v>
      </c>
      <c r="D28" t="s">
        <v>263</v>
      </c>
      <c r="E28" t="s">
        <v>45</v>
      </c>
      <c r="F28" t="s">
        <v>50</v>
      </c>
      <c r="G28" t="s">
        <v>85</v>
      </c>
    </row>
    <row r="29" spans="1:7" x14ac:dyDescent="0.35">
      <c r="A29" t="s">
        <v>230</v>
      </c>
      <c r="B29" t="s">
        <v>102</v>
      </c>
      <c r="C29" t="s">
        <v>262</v>
      </c>
      <c r="D29" t="s">
        <v>263</v>
      </c>
      <c r="E29" t="s">
        <v>45</v>
      </c>
      <c r="F29" t="s">
        <v>51</v>
      </c>
      <c r="G29" t="s">
        <v>86</v>
      </c>
    </row>
    <row r="30" spans="1:7" x14ac:dyDescent="0.35">
      <c r="A30" t="s">
        <v>230</v>
      </c>
      <c r="B30" t="s">
        <v>102</v>
      </c>
      <c r="C30" t="s">
        <v>262</v>
      </c>
      <c r="D30" t="s">
        <v>263</v>
      </c>
      <c r="E30" t="s">
        <v>45</v>
      </c>
      <c r="F30" t="s">
        <v>52</v>
      </c>
      <c r="G30" t="s">
        <v>87</v>
      </c>
    </row>
    <row r="31" spans="1:7" x14ac:dyDescent="0.35">
      <c r="A31" t="s">
        <v>230</v>
      </c>
      <c r="B31" t="s">
        <v>102</v>
      </c>
      <c r="C31" t="s">
        <v>262</v>
      </c>
      <c r="D31" t="s">
        <v>263</v>
      </c>
      <c r="E31" t="s">
        <v>53</v>
      </c>
      <c r="F31" t="s">
        <v>54</v>
      </c>
      <c r="G31" t="s">
        <v>55</v>
      </c>
    </row>
    <row r="32" spans="1:7" x14ac:dyDescent="0.35">
      <c r="A32" t="s">
        <v>230</v>
      </c>
      <c r="B32" t="s">
        <v>102</v>
      </c>
      <c r="C32" t="s">
        <v>262</v>
      </c>
      <c r="D32" t="s">
        <v>263</v>
      </c>
      <c r="E32" t="s">
        <v>53</v>
      </c>
      <c r="F32" t="s">
        <v>56</v>
      </c>
      <c r="G32" t="s">
        <v>57</v>
      </c>
    </row>
    <row r="33" spans="1:7" x14ac:dyDescent="0.35">
      <c r="A33" t="s">
        <v>230</v>
      </c>
      <c r="B33" t="s">
        <v>102</v>
      </c>
      <c r="C33" t="s">
        <v>262</v>
      </c>
      <c r="D33" t="s">
        <v>263</v>
      </c>
      <c r="E33" t="s">
        <v>53</v>
      </c>
      <c r="F33" t="s">
        <v>58</v>
      </c>
      <c r="G33" t="s">
        <v>59</v>
      </c>
    </row>
    <row r="34" spans="1:7" x14ac:dyDescent="0.35">
      <c r="A34" t="s">
        <v>230</v>
      </c>
      <c r="B34" t="s">
        <v>102</v>
      </c>
      <c r="C34" t="s">
        <v>262</v>
      </c>
      <c r="D34" t="s">
        <v>263</v>
      </c>
      <c r="E34" t="s">
        <v>53</v>
      </c>
      <c r="F34" t="s">
        <v>60</v>
      </c>
      <c r="G34" t="s">
        <v>61</v>
      </c>
    </row>
    <row r="35" spans="1:7" x14ac:dyDescent="0.35">
      <c r="A35" t="s">
        <v>230</v>
      </c>
      <c r="B35" t="s">
        <v>102</v>
      </c>
      <c r="C35" t="s">
        <v>262</v>
      </c>
      <c r="D35" t="s">
        <v>263</v>
      </c>
      <c r="E35" t="s">
        <v>53</v>
      </c>
      <c r="F35" t="s">
        <v>64</v>
      </c>
      <c r="G35" t="s">
        <v>88</v>
      </c>
    </row>
    <row r="36" spans="1:7" x14ac:dyDescent="0.35">
      <c r="A36" t="s">
        <v>230</v>
      </c>
      <c r="B36" t="s">
        <v>102</v>
      </c>
      <c r="C36" t="s">
        <v>262</v>
      </c>
      <c r="D36" t="s">
        <v>263</v>
      </c>
      <c r="E36" t="s">
        <v>53</v>
      </c>
      <c r="F36" t="s">
        <v>62</v>
      </c>
      <c r="G36" t="s">
        <v>89</v>
      </c>
    </row>
    <row r="37" spans="1:7" x14ac:dyDescent="0.35">
      <c r="A37" t="s">
        <v>230</v>
      </c>
      <c r="B37" t="s">
        <v>102</v>
      </c>
      <c r="C37" t="s">
        <v>262</v>
      </c>
      <c r="D37" t="s">
        <v>263</v>
      </c>
      <c r="E37" t="s">
        <v>53</v>
      </c>
      <c r="F37" t="s">
        <v>63</v>
      </c>
      <c r="G37" t="s">
        <v>90</v>
      </c>
    </row>
    <row r="38" spans="1:7" x14ac:dyDescent="0.35">
      <c r="A38" t="s">
        <v>230</v>
      </c>
      <c r="B38" t="s">
        <v>102</v>
      </c>
      <c r="C38" t="s">
        <v>262</v>
      </c>
      <c r="D38" t="s">
        <v>263</v>
      </c>
      <c r="E38" t="s">
        <v>65</v>
      </c>
      <c r="F38" t="s">
        <v>67</v>
      </c>
      <c r="G38" t="s">
        <v>68</v>
      </c>
    </row>
    <row r="39" spans="1:7" x14ac:dyDescent="0.35">
      <c r="A39" t="s">
        <v>230</v>
      </c>
      <c r="B39" t="s">
        <v>102</v>
      </c>
      <c r="C39" t="s">
        <v>262</v>
      </c>
      <c r="D39" t="s">
        <v>263</v>
      </c>
      <c r="E39" t="s">
        <v>65</v>
      </c>
      <c r="F39" t="s">
        <v>69</v>
      </c>
      <c r="G39" t="s">
        <v>70</v>
      </c>
    </row>
    <row r="40" spans="1:7" x14ac:dyDescent="0.35">
      <c r="A40" t="s">
        <v>230</v>
      </c>
      <c r="B40" t="s">
        <v>102</v>
      </c>
      <c r="C40" t="s">
        <v>262</v>
      </c>
      <c r="D40" t="s">
        <v>263</v>
      </c>
      <c r="E40" t="s">
        <v>65</v>
      </c>
      <c r="F40" t="s">
        <v>71</v>
      </c>
      <c r="G40" t="s">
        <v>72</v>
      </c>
    </row>
    <row r="41" spans="1:7" x14ac:dyDescent="0.35">
      <c r="A41" t="s">
        <v>230</v>
      </c>
      <c r="B41" t="s">
        <v>102</v>
      </c>
      <c r="C41" t="s">
        <v>262</v>
      </c>
      <c r="D41" t="s">
        <v>263</v>
      </c>
      <c r="E41" t="s">
        <v>65</v>
      </c>
      <c r="F41" t="s">
        <v>22</v>
      </c>
      <c r="G41" t="s">
        <v>73</v>
      </c>
    </row>
    <row r="42" spans="1:7" x14ac:dyDescent="0.35">
      <c r="A42" t="s">
        <v>230</v>
      </c>
      <c r="B42" t="s">
        <v>102</v>
      </c>
      <c r="C42" t="s">
        <v>262</v>
      </c>
      <c r="D42" t="s">
        <v>263</v>
      </c>
      <c r="E42" t="s">
        <v>65</v>
      </c>
      <c r="F42" t="s">
        <v>74</v>
      </c>
      <c r="G42" t="s">
        <v>75</v>
      </c>
    </row>
    <row r="43" spans="1:7" x14ac:dyDescent="0.35">
      <c r="A43" t="s">
        <v>230</v>
      </c>
      <c r="B43" t="s">
        <v>102</v>
      </c>
      <c r="C43" t="s">
        <v>262</v>
      </c>
      <c r="D43" t="s">
        <v>263</v>
      </c>
      <c r="E43" t="s">
        <v>65</v>
      </c>
      <c r="F43" t="s">
        <v>76</v>
      </c>
      <c r="G43" t="s">
        <v>77</v>
      </c>
    </row>
    <row r="44" spans="1:7" x14ac:dyDescent="0.35">
      <c r="A44" t="s">
        <v>230</v>
      </c>
      <c r="B44" t="s">
        <v>102</v>
      </c>
      <c r="C44" t="s">
        <v>262</v>
      </c>
      <c r="D44" t="s">
        <v>263</v>
      </c>
      <c r="E44" t="s">
        <v>65</v>
      </c>
      <c r="F44" t="s">
        <v>30</v>
      </c>
      <c r="G4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Instructions</vt:lpstr>
      <vt:lpstr>Login</vt:lpstr>
      <vt:lpstr>Releases</vt:lpstr>
      <vt:lpstr>Recent Credentials</vt:lpstr>
      <vt:lpstr>Target Schedule</vt:lpstr>
      <vt:lpstr>Test Coverage</vt:lpstr>
      <vt:lpstr>Cumulative Test Coverage</vt:lpstr>
      <vt:lpstr>Daily Variance</vt:lpstr>
      <vt:lpstr>CumVar by Severity &amp; Status</vt:lpstr>
      <vt:lpstr>Sev 1 Aging</vt:lpstr>
      <vt:lpstr>CumVar by RootCause &amp; Severity</vt:lpstr>
      <vt:lpstr>Cumulative SIT Effectiveness</vt:lpstr>
      <vt:lpstr>CumVar by Department</vt:lpstr>
      <vt:lpstr>Ranges</vt:lpstr>
      <vt:lpstr>Defect Open</vt:lpstr>
      <vt:lpstr>DSR</vt:lpstr>
      <vt:lpstr>Application Defect</vt:lpstr>
      <vt:lpstr>GeneratedTextSummaries</vt:lpstr>
      <vt:lpstr>Daily Target</vt:lpstr>
      <vt:lpstr>Trend Test Coverage</vt:lpstr>
      <vt:lpstr>AssignPeopleToDepartments</vt:lpstr>
      <vt:lpstr>Trend Defect Coverage</vt:lpstr>
      <vt:lpstr>AssignPeopleToDepartmentsHelper</vt:lpstr>
      <vt:lpstr>AfterRunAddresses</vt:lpstr>
      <vt:lpstr>Favourite TestSet Folders</vt:lpstr>
      <vt:lpstr>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Muriyanat, Varun</dc:creator>
  <cp:lastModifiedBy>AMIT RADHA KRISHNA NIGAM</cp:lastModifiedBy>
  <dcterms:created xsi:type="dcterms:W3CDTF">2019-05-21T17:29:18Z</dcterms:created>
  <dcterms:modified xsi:type="dcterms:W3CDTF">2025-10-13T04:10:39Z</dcterms:modified>
</cp:coreProperties>
</file>