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ig\eclipse-workspace\Automation Portal\WebApp\AutomationApp\backend\"/>
    </mc:Choice>
  </mc:AlternateContent>
  <xr:revisionPtr revIDLastSave="0" documentId="13_ncr:1_{7AEB26B9-D49D-4A57-904D-72A398194E1F}" xr6:coauthVersionLast="47" xr6:coauthVersionMax="47" xr10:uidLastSave="{00000000-0000-0000-0000-000000000000}"/>
  <bookViews>
    <workbookView xWindow="-108" yWindow="-108" windowWidth="23256" windowHeight="12456" tabRatio="617" activeTab="1" xr2:uid="{D1283EA9-E333-4D79-8B23-CD8BD94ECED4}"/>
  </bookViews>
  <sheets>
    <sheet name="Summary" sheetId="6" r:id="rId1"/>
    <sheet name="SOA" sheetId="11" r:id="rId2"/>
    <sheet name="NonSOA" sheetId="5" r:id="rId3"/>
  </sheets>
  <definedNames>
    <definedName name="_xlnm._FilterDatabase" localSheetId="1" hidden="1">SOA!$B$1:$M$2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1" i="5"/>
</calcChain>
</file>

<file path=xl/sharedStrings.xml><?xml version="1.0" encoding="utf-8"?>
<sst xmlns="http://schemas.openxmlformats.org/spreadsheetml/2006/main" count="201" uniqueCount="153">
  <si>
    <t>Initiatives</t>
  </si>
  <si>
    <t>Utilities</t>
  </si>
  <si>
    <t>Project Number and Name</t>
  </si>
  <si>
    <t xml:space="preserve"> --Select--</t>
  </si>
  <si>
    <t>Utilities Used</t>
  </si>
  <si>
    <t>TT UFT Scriptless</t>
  </si>
  <si>
    <t>Utility to connect to class tables</t>
  </si>
  <si>
    <t>TT mmtg Conformiq</t>
  </si>
  <si>
    <t>Utility to connect to (LCMS,DM) Database tables.</t>
  </si>
  <si>
    <t>Applications Impacted</t>
  </si>
  <si>
    <t>TT Envoy Conformiq</t>
  </si>
  <si>
    <t>TT CRM Robot</t>
  </si>
  <si>
    <t>Pega SBL TDM macro - Smartsheet</t>
  </si>
  <si>
    <t>TT LCMS Conformiq (1)</t>
  </si>
  <si>
    <t>Smart Data entry Sheets</t>
  </si>
  <si>
    <t>Count</t>
  </si>
  <si>
    <t>TT COINS UFT Scriptless</t>
  </si>
  <si>
    <t>CLASS_Automated_Deal_Creation_(TDM)(Class TDM Macro)</t>
  </si>
  <si>
    <t>Category</t>
  </si>
  <si>
    <t>Description</t>
  </si>
  <si>
    <t>TT DDGS SOA Regression</t>
  </si>
  <si>
    <t>CIF Creation Utility</t>
  </si>
  <si>
    <t>TT DM SOA Regression</t>
  </si>
  <si>
    <t>mMtg TDM Macro - Smartsheet</t>
  </si>
  <si>
    <t>Quest LCMS Conformiq (2)</t>
  </si>
  <si>
    <t>LCMS Deal Injestion into LCMs database</t>
  </si>
  <si>
    <t xml:space="preserve">Automation </t>
  </si>
  <si>
    <t>Quest CLASS Conformiq (1)</t>
  </si>
  <si>
    <t>ECIF Liability refresh simulator</t>
  </si>
  <si>
    <t>Test Summary Dashboard</t>
  </si>
  <si>
    <t>DM/DDGS LRE Migration</t>
  </si>
  <si>
    <t>TCO</t>
  </si>
  <si>
    <t>CGI E2E Automation</t>
  </si>
  <si>
    <t>CBA Triad Offline</t>
  </si>
  <si>
    <t>CGI EnvoyAPI</t>
  </si>
  <si>
    <t>Robotframework Script Execution</t>
  </si>
  <si>
    <t>TCS DDGS SOA (3)</t>
  </si>
  <si>
    <t>QEDevops Smoke</t>
  </si>
  <si>
    <t>Whatif</t>
  </si>
  <si>
    <t>Automation</t>
  </si>
  <si>
    <t>QEDevops Regression</t>
  </si>
  <si>
    <t xml:space="preserve">MIA - Insurance calculator </t>
  </si>
  <si>
    <t xml:space="preserve">Excalibur Reconciliation Utility-Rebalancing process  </t>
  </si>
  <si>
    <t xml:space="preserve">Class Reconciliation Utility-Rebalancing process  </t>
  </si>
  <si>
    <t>PDF content validator</t>
  </si>
  <si>
    <t>PDF comparator</t>
  </si>
  <si>
    <t>PDF to base 64 encoding</t>
  </si>
  <si>
    <t>DM-LBI Feed Virtualization Tool</t>
  </si>
  <si>
    <t>Automated Screen capture &amp; recorder</t>
  </si>
  <si>
    <t>2840 PDF Box (2840Validator_v1.0)</t>
  </si>
  <si>
    <t>Automated Env. Troubleshooting</t>
  </si>
  <si>
    <t>Automated Excalibur transaction posting (Adjustment, Renewal and Maturity, Prepayment, Payout, Others)</t>
  </si>
  <si>
    <t>TDM Enhancement &amp; Portal</t>
  </si>
  <si>
    <t>Continuous Testing Integration (Deposits)</t>
  </si>
  <si>
    <t>Continuous Testing Phase-1 (Lending)</t>
  </si>
  <si>
    <t>RPE and PostEdge Report Record File Validator</t>
  </si>
  <si>
    <t>Deposit Account Report Comparator</t>
  </si>
  <si>
    <t>Zafin Product Code Count Utility</t>
  </si>
  <si>
    <t>Feed File comparison</t>
  </si>
  <si>
    <t>PBPT 2078 Utility</t>
  </si>
  <si>
    <t>Utility to validate report against LCMS db</t>
  </si>
  <si>
    <t>Utility to compare the no. of records present in a excel report with respect to the xml files</t>
  </si>
  <si>
    <t>Utility to compare excel report data with MMTG GUI</t>
  </si>
  <si>
    <t>mmtg_parser</t>
  </si>
  <si>
    <t>Script to compare HTML page</t>
  </si>
  <si>
    <t>JSON_to_XML_Converter</t>
  </si>
  <si>
    <t>XMLParser_to_Excel.py</t>
  </si>
  <si>
    <t>Utility to generate XMLs</t>
  </si>
  <si>
    <t>Automation Utility</t>
  </si>
  <si>
    <t>ConformIQ Features enhancements (multiple)</t>
  </si>
  <si>
    <t>Web Page Scan</t>
  </si>
  <si>
    <t>Automation_CIQ_Report (Word Test Case Execution Results)</t>
  </si>
  <si>
    <t>Utility to update Robotframework XML file generated by ConformIQ</t>
  </si>
  <si>
    <t>ConformIQ test case formatter (template + test step customization)</t>
  </si>
  <si>
    <t>ConformiQ Batch scheduler</t>
  </si>
  <si>
    <t>CIQ_Report (Word Test Case Execution Results)</t>
  </si>
  <si>
    <t>Service Now Utility for Release mgmt ticket tracking</t>
  </si>
  <si>
    <t>Automated Allocation Portal</t>
  </si>
  <si>
    <t>Email Validation Utility</t>
  </si>
  <si>
    <t>Excalibur Macro Utility</t>
  </si>
  <si>
    <t>Automated ALM Reporting / DSR (Projects)</t>
  </si>
  <si>
    <t>Automated ALM Reporting / DSR (Program Level)</t>
  </si>
  <si>
    <t>ALM_TDConnect</t>
  </si>
  <si>
    <t>Application</t>
  </si>
  <si>
    <t>Form / BRULES Numbers
 / webservices tested</t>
  </si>
  <si>
    <t>Functional Lead</t>
  </si>
  <si>
    <t>Automation Lead</t>
  </si>
  <si>
    <t>~ Total  Automated TCs</t>
  </si>
  <si>
    <r>
      <t xml:space="preserve">#Test Case execution Count
</t>
    </r>
    <r>
      <rPr>
        <i/>
        <sz val="11"/>
        <color theme="1"/>
        <rFont val="Arial"/>
        <family val="2"/>
      </rPr>
      <t>(after discussing with Func Team)</t>
    </r>
  </si>
  <si>
    <t>#Total Days of effort - Execution</t>
  </si>
  <si>
    <t>Savings in Days</t>
  </si>
  <si>
    <t>Savings in Dollar Value</t>
  </si>
  <si>
    <r>
      <t xml:space="preserve">SOA Status
</t>
    </r>
    <r>
      <rPr>
        <i/>
        <sz val="11"/>
        <color theme="1"/>
        <rFont val="Arial"/>
        <family val="2"/>
      </rPr>
      <t xml:space="preserve">
Values: Existing / New</t>
    </r>
    <r>
      <rPr>
        <sz val="11"/>
        <color theme="1"/>
        <rFont val="Arial"/>
        <family val="2"/>
      </rPr>
      <t xml:space="preserve">
Create Separate Rows for Existing and New</t>
    </r>
  </si>
  <si>
    <t>Total Unique Forms</t>
  </si>
  <si>
    <t>Forms Complexity</t>
  </si>
  <si>
    <t>With Stub per day</t>
  </si>
  <si>
    <t>Without Stub per day</t>
  </si>
  <si>
    <t>With Stub</t>
  </si>
  <si>
    <t>Without Stub</t>
  </si>
  <si>
    <t>TDM Savings</t>
  </si>
  <si>
    <t>Total Savings</t>
  </si>
  <si>
    <t>Manual</t>
  </si>
  <si>
    <t xml:space="preserve">Total PD </t>
  </si>
  <si>
    <t>Cost</t>
  </si>
  <si>
    <t>Total PD</t>
  </si>
  <si>
    <t>Number of cycles</t>
  </si>
  <si>
    <t>N</t>
  </si>
  <si>
    <t>N3</t>
  </si>
  <si>
    <t>Offshore Rate (R1)</t>
  </si>
  <si>
    <t>Onsite Rate(R2)</t>
  </si>
  <si>
    <t>=</t>
  </si>
  <si>
    <t>Automation Savings — Breakdown</t>
  </si>
  <si>
    <t>N (Total deal count)</t>
  </si>
  <si>
    <t>N1 (Avg Manual/PD)</t>
  </si>
  <si>
    <t>PD1 [Total Manual PDs=N/N1]</t>
  </si>
  <si>
    <t>C1 [Total Manual Cost $]
[PD1*8*(R1+(0.15*R2))]</t>
  </si>
  <si>
    <t>N2 (Avg Automation/PD)</t>
  </si>
  <si>
    <t>PD2 [Total Manual PDs=N/N2]</t>
  </si>
  <si>
    <t>$ Savings</t>
  </si>
  <si>
    <t>N (Total Test Case Count)</t>
  </si>
  <si>
    <t>New Test Case Created</t>
  </si>
  <si>
    <t>TEST CASE EXECUTION - SIT</t>
  </si>
  <si>
    <t>TEST CASE EXECUTION - UAT</t>
  </si>
  <si>
    <t>ROI Reporting Month</t>
  </si>
  <si>
    <t>Release</t>
  </si>
  <si>
    <t>Project Details</t>
  </si>
  <si>
    <t>Initiatives Used</t>
  </si>
  <si>
    <t>TEST CASE EXECUTION - DIT</t>
  </si>
  <si>
    <t>Test Data / Deals</t>
  </si>
  <si>
    <t>C2 [Total Automation Cost $]
[PD1*8*(R1+(0.15*R2))]</t>
  </si>
  <si>
    <t>Existing Test Case Updated</t>
  </si>
  <si>
    <t>ROI ($) Category</t>
  </si>
  <si>
    <t>Savings in ($)</t>
  </si>
  <si>
    <t>Savings in PDs</t>
  </si>
  <si>
    <t>Total Deals Created in the Project So far (SIT+UAT)</t>
  </si>
  <si>
    <t>Adhoc Savings</t>
  </si>
  <si>
    <t>Cumulative ROI</t>
  </si>
  <si>
    <t>ROI from Test Data / Deals</t>
  </si>
  <si>
    <t>ROI from Automation</t>
  </si>
  <si>
    <t>ROI from Initiatives</t>
  </si>
  <si>
    <t>ROI from Utilities</t>
  </si>
  <si>
    <t>Transformation Initiatives</t>
  </si>
  <si>
    <t>Test Case Execution - RollBack</t>
  </si>
  <si>
    <t>Test Case Execution - RollForward</t>
  </si>
  <si>
    <t>Adhoc Utility</t>
  </si>
  <si>
    <t>Savings in PD</t>
  </si>
  <si>
    <t>[PD1 - PD2]</t>
  </si>
  <si>
    <t>[= (C1 - C2) * N3]</t>
  </si>
  <si>
    <t>Savings</t>
  </si>
  <si>
    <t>ROI Category</t>
  </si>
  <si>
    <t>Sr. N</t>
  </si>
  <si>
    <t>Pre-Capability [eg. Manual]</t>
  </si>
  <si>
    <t>Post-Capability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</si>
</sst>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_);[Red]\(&quot;$&quot;#,##0\)"/>
    <numFmt numFmtId="165" formatCode="&quot;$&quot;#,##0.00_);[Red]\(&quot;$&quot;#,##0.00\)"/>
  </numFmts>
  <fonts count="2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Arial"/>
      <family val="2"/>
    </font>
    <font>
      <sz val="10"/>
      <color theme="1"/>
      <name val="Trebuchet MS"/>
      <family val="2"/>
    </font>
    <font>
      <sz val="8"/>
      <color theme="1"/>
      <name val="Segoe UI"/>
      <family val="2"/>
    </font>
    <font>
      <b/>
      <sz val="8"/>
      <color theme="1"/>
      <name val="Trebuchet MS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b/>
      <i/>
      <sz val="11"/>
      <color theme="1"/>
      <name val="Arial"/>
      <family val="2"/>
    </font>
    <font>
      <i/>
      <u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9" fillId="10" borderId="7" applyNumberFormat="0" applyFont="0" applyAlignment="0" applyProtection="0"/>
    <xf numFmtId="44" fontId="15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9" fillId="0" borderId="0" xfId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11" borderId="1" xfId="2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13" fillId="1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12" borderId="8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 applyProtection="1">
      <alignment horizontal="center" vertical="center" wrapText="1"/>
      <protection locked="0"/>
    </xf>
    <xf numFmtId="0" fontId="3" fillId="13" borderId="14" xfId="0" applyFont="1" applyFill="1" applyBorder="1" applyAlignment="1">
      <alignment vertical="center" wrapText="1"/>
    </xf>
    <xf numFmtId="0" fontId="12" fillId="13" borderId="11" xfId="0" applyFont="1" applyFill="1" applyBorder="1" applyAlignment="1">
      <alignment vertical="center" wrapText="1"/>
    </xf>
    <xf numFmtId="0" fontId="12" fillId="13" borderId="1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2" borderId="0" xfId="0" applyFill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44" fontId="18" fillId="8" borderId="1" xfId="3" applyFont="1" applyFill="1" applyBorder="1" applyAlignment="1">
      <alignment horizontal="center" vertical="center" wrapText="1"/>
    </xf>
    <xf numFmtId="44" fontId="8" fillId="8" borderId="1" xfId="3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5" fontId="0" fillId="0" borderId="2" xfId="0" applyNumberFormat="1" applyBorder="1" applyAlignment="1">
      <alignment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vertical="center" wrapText="1"/>
    </xf>
    <xf numFmtId="0" fontId="3" fillId="13" borderId="10" xfId="0" applyFont="1" applyFill="1" applyBorder="1" applyAlignment="1">
      <alignment vertical="center" wrapText="1"/>
    </xf>
    <xf numFmtId="0" fontId="13" fillId="12" borderId="4" xfId="0" applyFont="1" applyFill="1" applyBorder="1" applyAlignment="1">
      <alignment vertical="center" wrapText="1"/>
    </xf>
    <xf numFmtId="0" fontId="3" fillId="13" borderId="17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5" fontId="20" fillId="14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5" borderId="0" xfId="0" applyFont="1" applyFill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165" fontId="0" fillId="2" borderId="0" xfId="0" applyNumberFormat="1" applyFill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3" fillId="16" borderId="1" xfId="0" applyFont="1" applyFill="1" applyBorder="1" applyAlignment="1">
      <alignment vertical="center" wrapText="1"/>
    </xf>
    <xf numFmtId="0" fontId="3" fillId="16" borderId="18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center" vertical="center" wrapText="1"/>
    </xf>
    <xf numFmtId="44" fontId="17" fillId="18" borderId="1" xfId="3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top" wrapText="1"/>
    </xf>
    <xf numFmtId="0" fontId="14" fillId="18" borderId="4" xfId="0" applyFont="1" applyFill="1" applyBorder="1" applyAlignment="1">
      <alignment horizontal="center" vertical="center" wrapText="1"/>
    </xf>
    <xf numFmtId="0" fontId="14" fillId="18" borderId="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</cellXfs>
  <cellStyles count="4">
    <cellStyle name="Currency" xfId="3" builtinId="4"/>
    <cellStyle name="Normal" xfId="0" builtinId="0"/>
    <cellStyle name="Normal 3 2" xfId="1" xr:uid="{35F3F6A1-45C1-4C79-BCAF-EAEC2926EE61}"/>
    <cellStyle name="Note 2" xfId="2" xr:uid="{C98A014E-495C-4CAA-BE22-5A54D70E6C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2A3D-10BE-4B6B-95C6-9A3D09E9DCFA}">
  <dimension ref="A1:U79"/>
  <sheetViews>
    <sheetView topLeftCell="A21" zoomScale="85" zoomScaleNormal="85" workbookViewId="0">
      <selection activeCell="C12" sqref="C12"/>
    </sheetView>
  </sheetViews>
  <sheetFormatPr defaultRowHeight="13.8" x14ac:dyDescent="0.25"/>
  <cols>
    <col min="1" max="1" width="27.5" style="37" bestFit="1" customWidth="1"/>
    <col min="2" max="2" width="13.19921875" style="37" bestFit="1" customWidth="1"/>
    <col min="3" max="3" width="18.796875" style="37" customWidth="1"/>
    <col min="4" max="4" width="16.09765625" style="37" customWidth="1"/>
    <col min="5" max="5" width="20.796875" style="37" customWidth="1"/>
    <col min="6" max="6" width="21.69921875" style="37" customWidth="1"/>
    <col min="7" max="7" width="21" style="37" customWidth="1"/>
    <col min="8" max="8" width="12.09765625" style="37" customWidth="1"/>
    <col min="9" max="9" width="15.3984375" style="37" customWidth="1"/>
    <col min="10" max="10" width="13.3984375" style="37" customWidth="1"/>
    <col min="11" max="19" width="8.796875" style="37"/>
    <col min="20" max="20" width="18.59765625" style="37" bestFit="1" customWidth="1"/>
    <col min="21" max="21" width="28.19921875" style="37" customWidth="1"/>
    <col min="22" max="16384" width="8.796875" style="37"/>
  </cols>
  <sheetData>
    <row r="1" spans="1:21" x14ac:dyDescent="0.25">
      <c r="A1" s="35" t="s">
        <v>125</v>
      </c>
      <c r="B1" s="36"/>
      <c r="T1" s="37" t="s">
        <v>0</v>
      </c>
      <c r="U1" s="37" t="s">
        <v>1</v>
      </c>
    </row>
    <row r="2" spans="1:21" x14ac:dyDescent="0.25">
      <c r="A2" s="23" t="s">
        <v>2</v>
      </c>
      <c r="B2" s="38"/>
      <c r="T2" s="12" t="s">
        <v>3</v>
      </c>
      <c r="U2" s="12" t="s">
        <v>3</v>
      </c>
    </row>
    <row r="3" spans="1:21" ht="22.8" x14ac:dyDescent="0.25">
      <c r="A3" s="39" t="s">
        <v>124</v>
      </c>
      <c r="B3" s="38"/>
      <c r="T3" s="6" t="s">
        <v>7</v>
      </c>
      <c r="U3" s="10" t="s">
        <v>8</v>
      </c>
    </row>
    <row r="4" spans="1:21" x14ac:dyDescent="0.25">
      <c r="A4" s="39" t="s">
        <v>9</v>
      </c>
      <c r="B4" s="38"/>
      <c r="T4" s="6" t="s">
        <v>10</v>
      </c>
    </row>
    <row r="5" spans="1:21" x14ac:dyDescent="0.25">
      <c r="A5" s="39" t="s">
        <v>86</v>
      </c>
      <c r="B5" s="38"/>
      <c r="T5" s="6" t="s">
        <v>11</v>
      </c>
      <c r="U5" s="10" t="s">
        <v>12</v>
      </c>
    </row>
    <row r="6" spans="1:21" x14ac:dyDescent="0.25">
      <c r="A6" s="39" t="s">
        <v>85</v>
      </c>
      <c r="B6" s="38"/>
      <c r="T6" s="20"/>
      <c r="U6" s="21"/>
    </row>
    <row r="7" spans="1:21" x14ac:dyDescent="0.25">
      <c r="A7" s="39" t="s">
        <v>126</v>
      </c>
      <c r="B7" s="38"/>
      <c r="C7" s="40"/>
      <c r="D7" s="40"/>
      <c r="E7" s="40"/>
      <c r="F7" s="40"/>
    </row>
    <row r="8" spans="1:21" x14ac:dyDescent="0.25">
      <c r="A8" s="39" t="s">
        <v>4</v>
      </c>
      <c r="B8" s="38"/>
      <c r="T8" s="6" t="s">
        <v>5</v>
      </c>
      <c r="U8" s="10" t="s">
        <v>6</v>
      </c>
    </row>
    <row r="9" spans="1:21" x14ac:dyDescent="0.25">
      <c r="A9" s="41" t="s">
        <v>123</v>
      </c>
      <c r="B9" s="38"/>
      <c r="T9" s="6"/>
      <c r="U9" s="10"/>
    </row>
    <row r="10" spans="1:21" x14ac:dyDescent="0.25">
      <c r="T10" s="6" t="s">
        <v>13</v>
      </c>
      <c r="U10" s="10" t="s">
        <v>14</v>
      </c>
    </row>
    <row r="11" spans="1:21" x14ac:dyDescent="0.25">
      <c r="A11" s="42" t="s">
        <v>131</v>
      </c>
      <c r="B11" s="43" t="s">
        <v>132</v>
      </c>
      <c r="C11" s="43" t="s">
        <v>133</v>
      </c>
      <c r="T11" s="6" t="s">
        <v>36</v>
      </c>
    </row>
    <row r="12" spans="1:21" ht="17.399999999999999" x14ac:dyDescent="0.25">
      <c r="A12" s="44" t="s">
        <v>136</v>
      </c>
      <c r="B12" s="77"/>
      <c r="C12" s="12"/>
      <c r="T12" s="6"/>
    </row>
    <row r="13" spans="1:21" ht="14.4" x14ac:dyDescent="0.25">
      <c r="A13" s="45" t="s">
        <v>137</v>
      </c>
      <c r="B13" s="46"/>
      <c r="C13" s="12"/>
      <c r="T13" s="6" t="s">
        <v>37</v>
      </c>
      <c r="U13" s="10" t="s">
        <v>38</v>
      </c>
    </row>
    <row r="14" spans="1:21" ht="14.4" x14ac:dyDescent="0.25">
      <c r="A14" s="45" t="s">
        <v>138</v>
      </c>
      <c r="B14" s="47"/>
      <c r="C14" s="12"/>
      <c r="T14" s="6" t="s">
        <v>40</v>
      </c>
      <c r="U14" s="10" t="s">
        <v>41</v>
      </c>
    </row>
    <row r="15" spans="1:21" ht="14.4" x14ac:dyDescent="0.25">
      <c r="A15" s="45" t="s">
        <v>139</v>
      </c>
      <c r="B15" s="47"/>
      <c r="C15" s="12"/>
      <c r="T15" s="6"/>
      <c r="U15" s="10"/>
    </row>
    <row r="16" spans="1:21" ht="14.4" x14ac:dyDescent="0.25">
      <c r="A16" s="45" t="s">
        <v>140</v>
      </c>
      <c r="B16" s="47"/>
      <c r="C16" s="12"/>
      <c r="T16" s="6"/>
      <c r="U16" s="10"/>
    </row>
    <row r="17" spans="1:21" ht="14.4" x14ac:dyDescent="0.25">
      <c r="A17" s="45" t="s">
        <v>135</v>
      </c>
      <c r="B17" s="47"/>
      <c r="C17" s="12"/>
      <c r="T17" s="6"/>
      <c r="U17" s="10"/>
    </row>
    <row r="18" spans="1:21" ht="14.4" thickBot="1" x14ac:dyDescent="0.3">
      <c r="A18" s="48"/>
      <c r="B18" s="49"/>
      <c r="T18" s="6"/>
      <c r="U18" s="10"/>
    </row>
    <row r="19" spans="1:21" ht="22.8" x14ac:dyDescent="0.25">
      <c r="A19" s="50" t="s">
        <v>18</v>
      </c>
      <c r="B19" s="50" t="s">
        <v>19</v>
      </c>
      <c r="C19" s="34" t="s">
        <v>15</v>
      </c>
      <c r="D19" s="51"/>
      <c r="E19" s="51"/>
      <c r="F19" s="52"/>
      <c r="T19" s="6" t="s">
        <v>16</v>
      </c>
      <c r="U19" s="10" t="s">
        <v>17</v>
      </c>
    </row>
    <row r="20" spans="1:21" ht="41.4" x14ac:dyDescent="0.25">
      <c r="B20" s="12"/>
      <c r="C20" s="76" t="s">
        <v>134</v>
      </c>
      <c r="D20" s="14"/>
      <c r="E20" s="14"/>
      <c r="F20" s="14"/>
      <c r="T20" s="6" t="s">
        <v>20</v>
      </c>
      <c r="U20" s="10" t="s">
        <v>21</v>
      </c>
    </row>
    <row r="21" spans="1:21" x14ac:dyDescent="0.25">
      <c r="A21" s="32" t="s">
        <v>128</v>
      </c>
      <c r="B21" s="12"/>
      <c r="C21" s="12"/>
      <c r="D21" s="12"/>
      <c r="E21" s="12"/>
      <c r="F21" s="12"/>
      <c r="T21" s="6" t="s">
        <v>22</v>
      </c>
      <c r="U21" s="10" t="s">
        <v>23</v>
      </c>
    </row>
    <row r="22" spans="1:21" ht="14.4" thickBot="1" x14ac:dyDescent="0.3">
      <c r="A22" s="53"/>
      <c r="B22" s="12"/>
      <c r="C22" s="12"/>
      <c r="D22" s="12"/>
      <c r="E22" s="12"/>
      <c r="F22" s="12"/>
      <c r="T22" s="6" t="s">
        <v>24</v>
      </c>
      <c r="U22" s="10" t="s">
        <v>25</v>
      </c>
    </row>
    <row r="23" spans="1:21" ht="22.8" x14ac:dyDescent="0.25">
      <c r="A23" s="50" t="s">
        <v>18</v>
      </c>
      <c r="B23" s="54" t="s">
        <v>19</v>
      </c>
      <c r="C23" s="54" t="s">
        <v>83</v>
      </c>
      <c r="D23" s="79" t="s">
        <v>15</v>
      </c>
      <c r="E23" s="80"/>
      <c r="F23" s="80"/>
      <c r="G23" s="80"/>
      <c r="H23" s="80"/>
      <c r="I23" s="80"/>
      <c r="J23" s="80"/>
      <c r="K23" s="80"/>
      <c r="T23" s="6" t="s">
        <v>16</v>
      </c>
      <c r="U23" s="10" t="s">
        <v>17</v>
      </c>
    </row>
    <row r="24" spans="1:21" ht="41.4" x14ac:dyDescent="0.25">
      <c r="D24" s="74" t="s">
        <v>120</v>
      </c>
      <c r="E24" s="74" t="s">
        <v>130</v>
      </c>
      <c r="F24" s="74" t="s">
        <v>127</v>
      </c>
      <c r="G24" s="74" t="s">
        <v>121</v>
      </c>
      <c r="H24" s="74" t="s">
        <v>122</v>
      </c>
      <c r="I24" s="74" t="s">
        <v>142</v>
      </c>
      <c r="J24" s="74" t="s">
        <v>143</v>
      </c>
      <c r="K24" s="74" t="s">
        <v>144</v>
      </c>
      <c r="T24" s="6" t="s">
        <v>20</v>
      </c>
      <c r="U24" s="10" t="s">
        <v>21</v>
      </c>
    </row>
    <row r="25" spans="1:21" x14ac:dyDescent="0.25">
      <c r="A25" s="23" t="s">
        <v>26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T25" s="6" t="s">
        <v>27</v>
      </c>
      <c r="U25" s="10" t="s">
        <v>28</v>
      </c>
    </row>
    <row r="26" spans="1:21" x14ac:dyDescent="0.25">
      <c r="A26" s="31"/>
      <c r="B26" s="12"/>
      <c r="C26" s="12"/>
      <c r="D26" s="12"/>
      <c r="E26" s="12"/>
      <c r="F26" s="12"/>
      <c r="G26" s="12"/>
      <c r="H26" s="12"/>
      <c r="I26" s="12"/>
      <c r="J26" s="12"/>
      <c r="K26" s="12"/>
      <c r="T26" s="6"/>
      <c r="U26" s="10"/>
    </row>
    <row r="27" spans="1:21" ht="14.4" thickBot="1" x14ac:dyDescent="0.3">
      <c r="A27" s="31"/>
      <c r="B27" s="12"/>
      <c r="C27" s="12"/>
      <c r="D27" s="12"/>
      <c r="E27" s="12"/>
      <c r="F27" s="12"/>
      <c r="G27" s="12"/>
      <c r="H27" s="12"/>
      <c r="I27" s="12"/>
      <c r="J27" s="12"/>
      <c r="K27" s="12"/>
      <c r="T27" s="6"/>
      <c r="U27" s="10"/>
    </row>
    <row r="28" spans="1:21" x14ac:dyDescent="0.25">
      <c r="A28" s="50" t="s">
        <v>18</v>
      </c>
      <c r="B28" s="54" t="s">
        <v>19</v>
      </c>
      <c r="C28" s="54" t="s">
        <v>83</v>
      </c>
      <c r="D28" s="81" t="s">
        <v>15</v>
      </c>
      <c r="E28" s="82"/>
      <c r="F28" s="82"/>
      <c r="G28" s="82"/>
      <c r="H28" s="82"/>
      <c r="I28" s="82"/>
      <c r="J28" s="82"/>
      <c r="K28" s="82"/>
      <c r="T28" s="6" t="s">
        <v>30</v>
      </c>
      <c r="U28" s="10" t="s">
        <v>31</v>
      </c>
    </row>
    <row r="29" spans="1:21" ht="41.4" x14ac:dyDescent="0.25">
      <c r="D29" s="75" t="s">
        <v>120</v>
      </c>
      <c r="E29" s="75" t="s">
        <v>130</v>
      </c>
      <c r="F29" s="75" t="s">
        <v>127</v>
      </c>
      <c r="G29" s="75" t="s">
        <v>121</v>
      </c>
      <c r="H29" s="75" t="s">
        <v>122</v>
      </c>
      <c r="I29" s="75" t="s">
        <v>142</v>
      </c>
      <c r="J29" s="75" t="s">
        <v>143</v>
      </c>
      <c r="K29" s="75" t="s">
        <v>144</v>
      </c>
      <c r="T29" s="6" t="s">
        <v>32</v>
      </c>
      <c r="U29" s="10" t="s">
        <v>33</v>
      </c>
    </row>
    <row r="30" spans="1:21" x14ac:dyDescent="0.25">
      <c r="A30" s="32" t="s">
        <v>141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T30" s="6" t="s">
        <v>34</v>
      </c>
      <c r="U30" s="10" t="s">
        <v>35</v>
      </c>
    </row>
    <row r="31" spans="1:21" ht="22.8" x14ac:dyDescent="0.25">
      <c r="B31" s="55"/>
      <c r="C31" s="12"/>
      <c r="D31" s="12"/>
      <c r="E31" s="12"/>
      <c r="F31" s="12"/>
      <c r="G31" s="12"/>
      <c r="H31" s="12"/>
      <c r="I31" s="12"/>
      <c r="J31" s="12"/>
      <c r="K31" s="12"/>
      <c r="T31" s="5"/>
      <c r="U31" s="10" t="s">
        <v>42</v>
      </c>
    </row>
    <row r="32" spans="1:21" ht="22.8" x14ac:dyDescent="0.25">
      <c r="B32" s="56"/>
      <c r="C32" s="12"/>
      <c r="D32" s="12"/>
      <c r="E32" s="12"/>
      <c r="F32" s="12"/>
      <c r="G32" s="12"/>
      <c r="H32" s="12"/>
      <c r="I32" s="12"/>
      <c r="J32" s="12"/>
      <c r="K32" s="12"/>
      <c r="U32" s="10" t="s">
        <v>43</v>
      </c>
    </row>
    <row r="33" spans="1:21" x14ac:dyDescent="0.25">
      <c r="A33" s="57"/>
      <c r="B33" s="56"/>
      <c r="C33" s="12"/>
      <c r="D33" s="12"/>
      <c r="E33" s="12"/>
      <c r="F33" s="12"/>
      <c r="G33" s="12"/>
      <c r="H33" s="12"/>
      <c r="I33" s="12"/>
      <c r="J33" s="12"/>
      <c r="K33" s="12"/>
      <c r="U33" s="9"/>
    </row>
    <row r="34" spans="1:21" x14ac:dyDescent="0.25">
      <c r="A34" s="57"/>
      <c r="B34" s="56"/>
      <c r="C34" s="12"/>
      <c r="D34" s="12"/>
      <c r="E34" s="12"/>
      <c r="F34" s="12"/>
      <c r="G34" s="12"/>
      <c r="H34" s="12"/>
      <c r="I34" s="12"/>
      <c r="J34" s="12"/>
      <c r="K34" s="12"/>
      <c r="U34" s="8" t="s">
        <v>44</v>
      </c>
    </row>
    <row r="35" spans="1:21" x14ac:dyDescent="0.25">
      <c r="A35" s="57"/>
      <c r="B35" s="57"/>
      <c r="U35" s="8" t="s">
        <v>45</v>
      </c>
    </row>
    <row r="36" spans="1:21" x14ac:dyDescent="0.25">
      <c r="A36" s="57"/>
      <c r="B36" s="57"/>
      <c r="U36" s="8" t="s">
        <v>46</v>
      </c>
    </row>
    <row r="37" spans="1:21" x14ac:dyDescent="0.25">
      <c r="A37" s="57"/>
      <c r="B37" s="57"/>
      <c r="U37" s="9"/>
    </row>
    <row r="38" spans="1:21" x14ac:dyDescent="0.25">
      <c r="A38" s="57"/>
      <c r="B38" s="57"/>
      <c r="U38" s="7" t="s">
        <v>47</v>
      </c>
    </row>
    <row r="39" spans="1:21" x14ac:dyDescent="0.25">
      <c r="A39" s="57"/>
      <c r="B39" s="57"/>
      <c r="U39" s="8" t="s">
        <v>48</v>
      </c>
    </row>
    <row r="40" spans="1:21" x14ac:dyDescent="0.25">
      <c r="A40" s="57"/>
      <c r="B40" s="57"/>
      <c r="U40" s="10" t="s">
        <v>49</v>
      </c>
    </row>
    <row r="41" spans="1:21" x14ac:dyDescent="0.25">
      <c r="A41" s="57"/>
      <c r="B41" s="57"/>
      <c r="U41" s="10" t="s">
        <v>50</v>
      </c>
    </row>
    <row r="42" spans="1:21" ht="34.200000000000003" x14ac:dyDescent="0.25">
      <c r="U42" s="10" t="s">
        <v>51</v>
      </c>
    </row>
    <row r="43" spans="1:21" x14ac:dyDescent="0.25">
      <c r="U43" s="10" t="s">
        <v>52</v>
      </c>
    </row>
    <row r="44" spans="1:21" x14ac:dyDescent="0.25">
      <c r="U44" s="10" t="s">
        <v>53</v>
      </c>
    </row>
    <row r="45" spans="1:21" x14ac:dyDescent="0.25">
      <c r="U45" s="10" t="s">
        <v>54</v>
      </c>
    </row>
    <row r="46" spans="1:21" x14ac:dyDescent="0.25">
      <c r="U46" s="9"/>
    </row>
    <row r="47" spans="1:21" ht="22.8" x14ac:dyDescent="0.25">
      <c r="U47" s="8" t="s">
        <v>55</v>
      </c>
    </row>
    <row r="48" spans="1:21" x14ac:dyDescent="0.25">
      <c r="U48" s="8" t="s">
        <v>56</v>
      </c>
    </row>
    <row r="49" spans="21:21" x14ac:dyDescent="0.25">
      <c r="U49" s="8" t="s">
        <v>57</v>
      </c>
    </row>
    <row r="50" spans="21:21" x14ac:dyDescent="0.25">
      <c r="U50" s="8" t="s">
        <v>58</v>
      </c>
    </row>
    <row r="51" spans="21:21" x14ac:dyDescent="0.25">
      <c r="U51" s="8" t="s">
        <v>59</v>
      </c>
    </row>
    <row r="52" spans="21:21" x14ac:dyDescent="0.25">
      <c r="U52" s="8" t="s">
        <v>60</v>
      </c>
    </row>
    <row r="53" spans="21:21" ht="22.8" x14ac:dyDescent="0.25">
      <c r="U53" s="8" t="s">
        <v>61</v>
      </c>
    </row>
    <row r="54" spans="21:21" ht="22.8" x14ac:dyDescent="0.25">
      <c r="U54" s="8" t="s">
        <v>62</v>
      </c>
    </row>
    <row r="55" spans="21:21" x14ac:dyDescent="0.25">
      <c r="U55" s="9"/>
    </row>
    <row r="56" spans="21:21" x14ac:dyDescent="0.25">
      <c r="U56" s="8" t="s">
        <v>63</v>
      </c>
    </row>
    <row r="57" spans="21:21" x14ac:dyDescent="0.25">
      <c r="U57" s="10" t="s">
        <v>64</v>
      </c>
    </row>
    <row r="58" spans="21:21" x14ac:dyDescent="0.25">
      <c r="U58" s="10" t="s">
        <v>65</v>
      </c>
    </row>
    <row r="59" spans="21:21" x14ac:dyDescent="0.25">
      <c r="U59" s="10" t="s">
        <v>66</v>
      </c>
    </row>
    <row r="60" spans="21:21" x14ac:dyDescent="0.25">
      <c r="U60" s="10" t="s">
        <v>67</v>
      </c>
    </row>
    <row r="61" spans="21:21" x14ac:dyDescent="0.25">
      <c r="U61" s="10" t="s">
        <v>68</v>
      </c>
    </row>
    <row r="62" spans="21:21" x14ac:dyDescent="0.25">
      <c r="U62" s="9"/>
    </row>
    <row r="63" spans="21:21" x14ac:dyDescent="0.25">
      <c r="U63" s="8" t="s">
        <v>69</v>
      </c>
    </row>
    <row r="64" spans="21:21" x14ac:dyDescent="0.25">
      <c r="U64" s="8" t="s">
        <v>70</v>
      </c>
    </row>
    <row r="65" spans="21:21" ht="22.8" x14ac:dyDescent="0.25">
      <c r="U65" s="8" t="s">
        <v>71</v>
      </c>
    </row>
    <row r="66" spans="21:21" ht="22.8" x14ac:dyDescent="0.25">
      <c r="U66" s="10" t="s">
        <v>72</v>
      </c>
    </row>
    <row r="67" spans="21:21" ht="22.8" x14ac:dyDescent="0.25">
      <c r="U67" s="8" t="s">
        <v>73</v>
      </c>
    </row>
    <row r="68" spans="21:21" x14ac:dyDescent="0.25">
      <c r="U68" s="10" t="s">
        <v>74</v>
      </c>
    </row>
    <row r="69" spans="21:21" ht="22.8" x14ac:dyDescent="0.25">
      <c r="U69" s="7" t="s">
        <v>75</v>
      </c>
    </row>
    <row r="70" spans="21:21" x14ac:dyDescent="0.25">
      <c r="U70" s="9"/>
    </row>
    <row r="71" spans="21:21" ht="22.8" x14ac:dyDescent="0.25">
      <c r="U71" s="8" t="s">
        <v>76</v>
      </c>
    </row>
    <row r="72" spans="21:21" x14ac:dyDescent="0.25">
      <c r="U72" s="8" t="s">
        <v>77</v>
      </c>
    </row>
    <row r="73" spans="21:21" x14ac:dyDescent="0.25">
      <c r="U73" s="7" t="s">
        <v>78</v>
      </c>
    </row>
    <row r="74" spans="21:21" x14ac:dyDescent="0.25">
      <c r="U74" s="8" t="s">
        <v>79</v>
      </c>
    </row>
    <row r="75" spans="21:21" x14ac:dyDescent="0.25">
      <c r="U75" s="9"/>
    </row>
    <row r="76" spans="21:21" x14ac:dyDescent="0.25">
      <c r="U76" s="8" t="s">
        <v>80</v>
      </c>
    </row>
    <row r="77" spans="21:21" ht="22.8" x14ac:dyDescent="0.25">
      <c r="U77" s="7" t="s">
        <v>81</v>
      </c>
    </row>
    <row r="78" spans="21:21" x14ac:dyDescent="0.25">
      <c r="U78" s="10" t="s">
        <v>29</v>
      </c>
    </row>
    <row r="79" spans="21:21" x14ac:dyDescent="0.25">
      <c r="U79" s="10" t="s">
        <v>82</v>
      </c>
    </row>
  </sheetData>
  <mergeCells count="2">
    <mergeCell ref="D23:K23"/>
    <mergeCell ref="D28:K28"/>
  </mergeCells>
  <dataValidations count="2">
    <dataValidation type="list" showInputMessage="1" showErrorMessage="1" sqref="B8 C8:I9" xr:uid="{C9E6F8AA-415D-4236-B683-D2142BB65715}">
      <formula1>$U$2:$U$82</formula1>
    </dataValidation>
    <dataValidation type="list" showInputMessage="1" showErrorMessage="1" sqref="B7:I7" xr:uid="{AA512509-34D2-45D4-A22F-342659FA0886}">
      <formula1>$T$2:$T$32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A295-D237-4436-8415-2C65605A334A}">
  <dimension ref="A1:S14"/>
  <sheetViews>
    <sheetView tabSelected="1" zoomScale="70" zoomScaleNormal="70" workbookViewId="0">
      <pane ySplit="2" topLeftCell="A3" activePane="bottomLeft" state="frozen"/>
      <selection pane="bottomLeft" activeCell="F15" sqref="F15"/>
    </sheetView>
  </sheetViews>
  <sheetFormatPr defaultColWidth="8.59765625" defaultRowHeight="13.8" x14ac:dyDescent="0.25"/>
  <cols>
    <col min="1" max="1" width="8.59765625" style="1"/>
    <col min="2" max="2" width="10.09765625" style="1" bestFit="1" customWidth="1"/>
    <col min="3" max="3" width="22" style="1" customWidth="1"/>
    <col min="4" max="4" width="22.5" style="1" bestFit="1" customWidth="1"/>
    <col min="5" max="5" width="40.5" style="1" customWidth="1"/>
    <col min="6" max="6" width="36.09765625" style="1" bestFit="1" customWidth="1"/>
    <col min="7" max="7" width="16.09765625" style="1" bestFit="1" customWidth="1"/>
    <col min="8" max="8" width="15.59765625" style="1" bestFit="1" customWidth="1"/>
    <col min="9" max="9" width="18.3984375" style="1" bestFit="1" customWidth="1"/>
    <col min="10" max="10" width="24.8984375" style="1" customWidth="1"/>
    <col min="11" max="11" width="12.69921875" style="1" bestFit="1" customWidth="1"/>
    <col min="12" max="12" width="14.09765625" style="1" bestFit="1" customWidth="1"/>
    <col min="13" max="13" width="20" style="1" bestFit="1" customWidth="1"/>
    <col min="14" max="16" width="8.59765625" style="1"/>
    <col min="17" max="17" width="16.8984375" style="1" bestFit="1" customWidth="1"/>
    <col min="18" max="18" width="10.5" style="1" bestFit="1" customWidth="1"/>
    <col min="19" max="16384" width="8.59765625" style="1"/>
  </cols>
  <sheetData>
    <row r="1" spans="1:19" s="4" customFormat="1" ht="70.2" x14ac:dyDescent="0.25">
      <c r="A1" s="2" t="s">
        <v>150</v>
      </c>
      <c r="B1" s="2" t="s">
        <v>83</v>
      </c>
      <c r="C1" s="3" t="s">
        <v>92</v>
      </c>
      <c r="D1" s="18" t="s">
        <v>84</v>
      </c>
      <c r="E1" s="15" t="s">
        <v>93</v>
      </c>
      <c r="F1" s="3" t="s">
        <v>87</v>
      </c>
      <c r="G1" s="15" t="s">
        <v>94</v>
      </c>
      <c r="H1" s="83" t="s">
        <v>88</v>
      </c>
      <c r="I1" s="83"/>
      <c r="J1" s="83" t="s">
        <v>89</v>
      </c>
      <c r="K1" s="83"/>
      <c r="L1" s="2" t="s">
        <v>90</v>
      </c>
      <c r="M1" s="2" t="s">
        <v>91</v>
      </c>
    </row>
    <row r="2" spans="1:19" s="4" customFormat="1" ht="27.6" x14ac:dyDescent="0.25">
      <c r="B2" s="2"/>
      <c r="C2" s="2"/>
      <c r="D2" s="2"/>
      <c r="E2" s="2"/>
      <c r="F2" s="2"/>
      <c r="G2" s="2"/>
      <c r="H2" s="16" t="s">
        <v>95</v>
      </c>
      <c r="I2" s="16" t="s">
        <v>96</v>
      </c>
      <c r="J2" s="17" t="s">
        <v>97</v>
      </c>
      <c r="K2" s="17" t="s">
        <v>98</v>
      </c>
      <c r="L2" s="2"/>
      <c r="M2" s="2"/>
    </row>
    <row r="3" spans="1:19" x14ac:dyDescent="0.25">
      <c r="B3" s="22"/>
      <c r="E3" s="22"/>
      <c r="F3" s="22"/>
      <c r="M3" s="22"/>
      <c r="Q3" s="11"/>
      <c r="R3" s="11"/>
    </row>
    <row r="4" spans="1:19" x14ac:dyDescent="0.25">
      <c r="B4" s="13"/>
      <c r="C4" s="12"/>
      <c r="D4" s="12"/>
      <c r="E4" s="12"/>
      <c r="F4" s="14"/>
      <c r="G4" s="12"/>
      <c r="H4" s="12"/>
      <c r="I4" s="12"/>
      <c r="J4" s="12"/>
      <c r="K4" s="12"/>
      <c r="L4" s="14"/>
      <c r="M4" s="14"/>
      <c r="Q4"/>
      <c r="R4"/>
      <c r="S4"/>
    </row>
    <row r="14" spans="1:19" x14ac:dyDescent="0.25">
      <c r="L14" s="1" t="s">
        <v>110</v>
      </c>
    </row>
  </sheetData>
  <mergeCells count="2">
    <mergeCell ref="H1:I1"/>
    <mergeCell ref="J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E1A5-17B6-46DB-8C35-F44103F6297B}">
  <dimension ref="A1:U20"/>
  <sheetViews>
    <sheetView zoomScale="85" zoomScaleNormal="85" workbookViewId="0">
      <selection activeCell="C10" sqref="C10:E15"/>
    </sheetView>
  </sheetViews>
  <sheetFormatPr defaultColWidth="27.09765625" defaultRowHeight="14.25" customHeight="1" x14ac:dyDescent="0.25"/>
  <cols>
    <col min="1" max="1" width="10.19921875" style="63" bestFit="1" customWidth="1"/>
    <col min="2" max="2" width="12.09765625" style="63" bestFit="1" customWidth="1"/>
    <col min="3" max="3" width="16.09765625" style="63" bestFit="1" customWidth="1"/>
    <col min="4" max="4" width="16.59765625" style="63" bestFit="1" customWidth="1"/>
    <col min="5" max="5" width="24.296875" style="63" bestFit="1" customWidth="1"/>
    <col min="6" max="6" width="20.09765625" style="63" bestFit="1" customWidth="1"/>
    <col min="7" max="7" width="19.69921875" style="63" bestFit="1" customWidth="1"/>
    <col min="8" max="8" width="24.296875" style="63" bestFit="1" customWidth="1"/>
    <col min="9" max="9" width="23.296875" style="63" bestFit="1" customWidth="1"/>
    <col min="10" max="10" width="14.09765625" style="63" bestFit="1" customWidth="1"/>
    <col min="11" max="11" width="14.19921875" style="63" bestFit="1" customWidth="1"/>
    <col min="12" max="12" width="11" style="70" bestFit="1" customWidth="1"/>
    <col min="13" max="21" width="27.09765625" style="70"/>
    <col min="22" max="16384" width="27.09765625" style="63"/>
  </cols>
  <sheetData>
    <row r="1" spans="1:21" s="68" customFormat="1" ht="18" x14ac:dyDescent="0.25">
      <c r="A1" s="86" t="s">
        <v>99</v>
      </c>
      <c r="B1" s="87"/>
      <c r="C1" s="88"/>
      <c r="D1" s="58" t="s">
        <v>100</v>
      </c>
      <c r="E1" s="59">
        <f>K5</f>
        <v>0</v>
      </c>
      <c r="F1" s="92"/>
      <c r="G1" s="93"/>
      <c r="H1" s="93"/>
      <c r="I1" s="93"/>
      <c r="J1" s="93"/>
      <c r="K1" s="93"/>
      <c r="L1" s="93"/>
      <c r="M1" s="67"/>
      <c r="N1" s="67"/>
      <c r="O1" s="67"/>
      <c r="P1" s="67"/>
      <c r="Q1" s="67"/>
      <c r="R1" s="67"/>
      <c r="S1" s="67"/>
      <c r="T1" s="67"/>
      <c r="U1" s="67"/>
    </row>
    <row r="2" spans="1:21" ht="21" customHeight="1" x14ac:dyDescent="0.25">
      <c r="C2" s="69"/>
      <c r="D2" s="89" t="s">
        <v>151</v>
      </c>
      <c r="E2" s="90"/>
      <c r="F2" s="91"/>
      <c r="G2" s="94" t="s">
        <v>152</v>
      </c>
      <c r="H2" s="95"/>
      <c r="I2" s="95"/>
      <c r="J2" s="96"/>
      <c r="K2" s="84" t="s">
        <v>148</v>
      </c>
      <c r="L2" s="85"/>
    </row>
    <row r="3" spans="1:21" ht="14.4" x14ac:dyDescent="0.25">
      <c r="C3" s="25" t="s">
        <v>112</v>
      </c>
      <c r="D3" s="25" t="s">
        <v>101</v>
      </c>
      <c r="E3" s="25" t="s">
        <v>102</v>
      </c>
      <c r="F3" s="25" t="s">
        <v>103</v>
      </c>
      <c r="G3" s="19" t="s">
        <v>39</v>
      </c>
      <c r="H3" s="25" t="s">
        <v>104</v>
      </c>
      <c r="I3" s="25" t="s">
        <v>103</v>
      </c>
      <c r="J3" s="25" t="s">
        <v>105</v>
      </c>
      <c r="K3" s="19" t="s">
        <v>118</v>
      </c>
      <c r="L3" s="24" t="s">
        <v>145</v>
      </c>
    </row>
    <row r="4" spans="1:21" ht="28.8" x14ac:dyDescent="0.25">
      <c r="A4" s="33" t="s">
        <v>83</v>
      </c>
      <c r="B4" s="33" t="s">
        <v>149</v>
      </c>
      <c r="C4" s="26" t="s">
        <v>106</v>
      </c>
      <c r="D4" s="19" t="s">
        <v>113</v>
      </c>
      <c r="E4" s="19" t="s">
        <v>114</v>
      </c>
      <c r="F4" s="19" t="s">
        <v>115</v>
      </c>
      <c r="G4" s="19" t="s">
        <v>116</v>
      </c>
      <c r="H4" s="19" t="s">
        <v>117</v>
      </c>
      <c r="I4" s="24" t="s">
        <v>129</v>
      </c>
      <c r="J4" s="19" t="s">
        <v>107</v>
      </c>
      <c r="K4" s="24" t="s">
        <v>147</v>
      </c>
      <c r="L4" s="24" t="s">
        <v>146</v>
      </c>
    </row>
    <row r="5" spans="1:21" ht="14.4" x14ac:dyDescent="0.25">
      <c r="A5" s="60"/>
      <c r="B5" s="61"/>
      <c r="C5" s="60"/>
      <c r="D5" s="61"/>
      <c r="E5" s="61"/>
      <c r="F5" s="61"/>
      <c r="G5" s="61"/>
      <c r="H5" s="61"/>
      <c r="I5" s="61"/>
      <c r="J5" s="61"/>
      <c r="K5" s="61"/>
      <c r="L5" s="62"/>
      <c r="M5" s="71"/>
    </row>
    <row r="6" spans="1:21" s="68" customFormat="1" ht="18" x14ac:dyDescent="0.25">
      <c r="A6" s="86" t="s">
        <v>111</v>
      </c>
      <c r="B6" s="87"/>
      <c r="C6" s="88"/>
      <c r="D6" s="58" t="s">
        <v>100</v>
      </c>
      <c r="E6" s="59">
        <f>K10</f>
        <v>0</v>
      </c>
      <c r="F6" s="92"/>
      <c r="G6" s="93"/>
      <c r="H6" s="93"/>
      <c r="I6" s="93"/>
      <c r="J6" s="93"/>
      <c r="K6" s="93"/>
      <c r="L6" s="93"/>
      <c r="M6" s="67"/>
      <c r="N6" s="64" t="s">
        <v>108</v>
      </c>
      <c r="O6" s="65">
        <v>27.85</v>
      </c>
      <c r="P6" s="67"/>
      <c r="Q6" s="67"/>
      <c r="R6" s="67"/>
      <c r="S6" s="67"/>
      <c r="T6" s="67"/>
      <c r="U6" s="67"/>
    </row>
    <row r="7" spans="1:21" ht="21" customHeight="1" x14ac:dyDescent="0.25">
      <c r="C7" s="69"/>
      <c r="D7" s="89" t="s">
        <v>151</v>
      </c>
      <c r="E7" s="90"/>
      <c r="F7" s="91"/>
      <c r="G7" s="94" t="s">
        <v>152</v>
      </c>
      <c r="H7" s="95"/>
      <c r="I7" s="95"/>
      <c r="J7" s="96"/>
      <c r="K7" s="84" t="s">
        <v>148</v>
      </c>
      <c r="L7" s="85"/>
      <c r="N7" s="28" t="s">
        <v>109</v>
      </c>
      <c r="O7" s="66">
        <v>66.63</v>
      </c>
    </row>
    <row r="8" spans="1:21" ht="28.8" x14ac:dyDescent="0.25">
      <c r="C8" s="19" t="s">
        <v>119</v>
      </c>
      <c r="D8" s="25" t="s">
        <v>101</v>
      </c>
      <c r="E8" s="25" t="s">
        <v>102</v>
      </c>
      <c r="F8" s="25" t="s">
        <v>103</v>
      </c>
      <c r="G8" s="19" t="s">
        <v>39</v>
      </c>
      <c r="H8" s="25" t="s">
        <v>104</v>
      </c>
      <c r="I8" s="25" t="s">
        <v>103</v>
      </c>
      <c r="J8" s="25" t="s">
        <v>105</v>
      </c>
      <c r="K8" s="19" t="s">
        <v>118</v>
      </c>
      <c r="L8" s="24" t="s">
        <v>145</v>
      </c>
    </row>
    <row r="9" spans="1:21" ht="28.8" x14ac:dyDescent="0.25">
      <c r="A9" s="33" t="s">
        <v>83</v>
      </c>
      <c r="B9" s="33" t="s">
        <v>149</v>
      </c>
      <c r="C9" s="26" t="s">
        <v>106</v>
      </c>
      <c r="D9" s="19" t="s">
        <v>113</v>
      </c>
      <c r="E9" s="19" t="s">
        <v>114</v>
      </c>
      <c r="F9" s="19" t="s">
        <v>115</v>
      </c>
      <c r="G9" s="19" t="s">
        <v>116</v>
      </c>
      <c r="H9" s="19" t="s">
        <v>117</v>
      </c>
      <c r="I9" s="19" t="s">
        <v>129</v>
      </c>
      <c r="J9" s="19" t="s">
        <v>107</v>
      </c>
      <c r="K9" s="24" t="s">
        <v>147</v>
      </c>
      <c r="L9" s="24" t="s">
        <v>146</v>
      </c>
    </row>
    <row r="10" spans="1:21" ht="14.4" x14ac:dyDescent="0.25">
      <c r="A10" s="60"/>
      <c r="B10" s="61"/>
      <c r="C10" s="62"/>
      <c r="D10" s="62"/>
      <c r="E10" s="62"/>
      <c r="F10" s="61"/>
      <c r="G10" s="61"/>
      <c r="H10" s="61"/>
      <c r="I10" s="61"/>
      <c r="J10" s="61"/>
      <c r="K10" s="61"/>
      <c r="L10" s="62"/>
    </row>
    <row r="11" spans="1:21" ht="14.7" customHeight="1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63"/>
      <c r="O11" s="63"/>
      <c r="P11" s="63"/>
      <c r="Q11" s="63"/>
      <c r="R11" s="63"/>
      <c r="S11" s="63"/>
      <c r="T11" s="63"/>
      <c r="U11" s="63"/>
    </row>
    <row r="12" spans="1:21" ht="14.4" x14ac:dyDescent="0.25">
      <c r="A12" s="62"/>
      <c r="B12" s="62"/>
      <c r="C12" s="62"/>
      <c r="D12" s="62"/>
      <c r="E12" s="62"/>
      <c r="F12" s="28"/>
      <c r="G12" s="29"/>
      <c r="H12" s="27"/>
      <c r="I12" s="27"/>
      <c r="J12" s="30"/>
      <c r="K12" s="30"/>
      <c r="L12" s="72"/>
      <c r="N12" s="71"/>
    </row>
    <row r="13" spans="1:21" ht="14.4" x14ac:dyDescent="0.25">
      <c r="A13" s="62"/>
      <c r="B13" s="78"/>
      <c r="C13" s="62"/>
      <c r="D13" s="62"/>
      <c r="E13" s="62"/>
      <c r="F13" s="28"/>
      <c r="G13" s="29"/>
      <c r="H13" s="27"/>
      <c r="I13" s="27"/>
      <c r="J13" s="30"/>
      <c r="K13" s="30"/>
      <c r="L13" s="72"/>
      <c r="N13" s="71"/>
    </row>
    <row r="14" spans="1:21" ht="14.4" x14ac:dyDescent="0.25">
      <c r="A14" s="62"/>
      <c r="B14" s="62"/>
      <c r="C14" s="62"/>
      <c r="D14" s="62"/>
      <c r="E14" s="62"/>
      <c r="F14" s="28"/>
      <c r="G14" s="28"/>
      <c r="H14" s="27"/>
      <c r="I14" s="27"/>
      <c r="J14" s="27"/>
      <c r="K14" s="27"/>
      <c r="L14" s="73"/>
    </row>
    <row r="15" spans="1:21" ht="13.8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</row>
    <row r="16" spans="1:21" ht="14.4" x14ac:dyDescent="0.25">
      <c r="A16" s="62"/>
      <c r="B16" s="62"/>
      <c r="C16" s="62"/>
      <c r="D16" s="62"/>
      <c r="E16" s="28"/>
      <c r="F16" s="62"/>
      <c r="G16" s="62"/>
      <c r="H16" s="62"/>
      <c r="I16" s="62"/>
      <c r="J16" s="62"/>
      <c r="K16" s="62"/>
      <c r="L16" s="62"/>
    </row>
    <row r="17" spans="1:12" ht="14.4" x14ac:dyDescent="0.25">
      <c r="A17" s="62"/>
      <c r="B17" s="62"/>
      <c r="C17" s="62"/>
      <c r="D17" s="62"/>
      <c r="E17" s="28"/>
      <c r="F17" s="62"/>
      <c r="G17" s="62"/>
      <c r="H17" s="62"/>
      <c r="I17" s="62"/>
      <c r="J17" s="62"/>
      <c r="K17" s="62"/>
      <c r="L17" s="73"/>
    </row>
    <row r="18" spans="1:12" ht="14.4" x14ac:dyDescent="0.25">
      <c r="A18" s="62"/>
      <c r="B18" s="62"/>
      <c r="C18" s="62"/>
      <c r="D18" s="62"/>
      <c r="E18" s="28"/>
      <c r="F18" s="62"/>
      <c r="G18" s="62"/>
      <c r="H18" s="62"/>
      <c r="I18" s="62"/>
      <c r="J18" s="62"/>
      <c r="K18" s="62"/>
      <c r="L18" s="73"/>
    </row>
    <row r="19" spans="1:12" ht="13.8" x14ac:dyDescent="0.25"/>
    <row r="20" spans="1:12" ht="13.8" x14ac:dyDescent="0.25"/>
  </sheetData>
  <mergeCells count="10">
    <mergeCell ref="K2:L2"/>
    <mergeCell ref="K7:L7"/>
    <mergeCell ref="A1:C1"/>
    <mergeCell ref="A6:C6"/>
    <mergeCell ref="D2:F2"/>
    <mergeCell ref="D7:F7"/>
    <mergeCell ref="F1:L1"/>
    <mergeCell ref="F6:L6"/>
    <mergeCell ref="G2:J2"/>
    <mergeCell ref="G7:J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48f005-602b-43c1-84e3-848884a3acb6" xsi:nil="true"/>
    <lcf76f155ced4ddcb4097134ff3c332f xmlns="ac672437-ed71-4aee-a5a0-46935609671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1803675F685244844B7DA7B4D99EB8" ma:contentTypeVersion="17" ma:contentTypeDescription="Create a new document." ma:contentTypeScope="" ma:versionID="b92cbd7a3476541457085bc0a3a3f9b3">
  <xsd:schema xmlns:xsd="http://www.w3.org/2001/XMLSchema" xmlns:xs="http://www.w3.org/2001/XMLSchema" xmlns:p="http://schemas.microsoft.com/office/2006/metadata/properties" xmlns:ns2="ac672437-ed71-4aee-a5a0-469356096712" xmlns:ns3="65db5c3e-9ac0-4be7-b783-86ee6f1e76ce" xmlns:ns4="fd48f005-602b-43c1-84e3-848884a3acb6" targetNamespace="http://schemas.microsoft.com/office/2006/metadata/properties" ma:root="true" ma:fieldsID="ff0f38c73bb50849c301e2ebd98cbd13" ns2:_="" ns3:_="" ns4:_="">
    <xsd:import namespace="ac672437-ed71-4aee-a5a0-469356096712"/>
    <xsd:import namespace="65db5c3e-9ac0-4be7-b783-86ee6f1e76ce"/>
    <xsd:import namespace="fd48f005-602b-43c1-84e3-848884a3a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72437-ed71-4aee-a5a0-469356096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195982d-6267-4e25-a797-e2807f6cd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b5c3e-9ac0-4be7-b783-86ee6f1e76c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8f005-602b-43c1-84e3-848884a3ac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cdfcd1-db21-4491-86e5-251787f141f7}" ma:internalName="TaxCatchAll" ma:showField="CatchAllData" ma:web="fd48f005-602b-43c1-84e3-848884a3a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933D8-A09A-4110-A74C-FA943BBCFF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8D357-7577-4787-9B5C-90902BDC76A9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d48f005-602b-43c1-84e3-848884a3acb6"/>
    <ds:schemaRef ds:uri="65db5c3e-9ac0-4be7-b783-86ee6f1e76ce"/>
    <ds:schemaRef ds:uri="ac672437-ed71-4aee-a5a0-46935609671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3F52677-41D5-4CD8-A6A4-1319A1589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72437-ed71-4aee-a5a0-469356096712"/>
    <ds:schemaRef ds:uri="65db5c3e-9ac0-4be7-b783-86ee6f1e76ce"/>
    <ds:schemaRef ds:uri="fd48f005-602b-43c1-84e3-848884a3a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SOA</vt:lpstr>
      <vt:lpstr>NonSOA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Shetty, Ronak</dc:creator>
  <cp:keywords/>
  <dc:description/>
  <cp:lastModifiedBy>AMIT RADHA KRISHNA NIGAM</cp:lastModifiedBy>
  <cp:revision/>
  <dcterms:created xsi:type="dcterms:W3CDTF">2022-09-21T14:11:30Z</dcterms:created>
  <dcterms:modified xsi:type="dcterms:W3CDTF">2025-10-11T03:35:46Z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0x010100B71803675F685244844B7DA7B4D99EB8</vt:lpwstr>
  </property>
  <property fmtid="{D5CDD505-2E9C-101B-9397-08002B2CF9AE}" pid="3" name="MediaServiceImageTags">
    <vt:lpwstr/>
  </property>
</Properties>
</file>