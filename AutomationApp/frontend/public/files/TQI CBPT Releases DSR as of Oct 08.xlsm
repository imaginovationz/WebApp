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7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8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9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10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12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13.xml" ContentType="application/vnd.ms-excel.controlproperties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trlProps/ctrlProp14.xml" ContentType="application/vnd.ms-excel.controlproperties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trlProps/ctrlProp15.xml" ContentType="application/vnd.ms-excel.controlproperties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trlProps/ctrlProp16.xml" ContentType="application/vnd.ms-excel.controlproperties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trlProps/ctrlProp17.xml" ContentType="application/vnd.ms-excel.controlproperties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trlProps/ctrlProp18.xml" ContentType="application/vnd.ms-excel.controlproperties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trlProps/ctrlProp19.xml" ContentType="application/vnd.ms-excel.controlproperties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trlProps/ctrlProp20.xml" ContentType="application/vnd.ms-excel.controlproperties+xml"/>
  <Override PartName="/xl/comments21.xml" ContentType="application/vnd.openxmlformats-officedocument.spreadsheetml.comments+xml"/>
  <Override PartName="/xl/drawings/drawing22.xml" ContentType="application/vnd.openxmlformats-officedocument.drawing+xml"/>
  <Override PartName="/xl/ctrlProps/ctrlProp21.xml" ContentType="application/vnd.ms-excel.controlproperties+xml"/>
  <Override PartName="/xl/comments22.xml" ContentType="application/vnd.openxmlformats-officedocument.spreadsheetml.comments+xml"/>
  <Override PartName="/xl/drawings/drawing23.xml" ContentType="application/vnd.openxmlformats-officedocument.drawing+xml"/>
  <Override PartName="/xl/ctrlProps/ctrlProp22.xml" ContentType="application/vnd.ms-excel.controlproperties+xml"/>
  <Override PartName="/xl/comments23.xml" ContentType="application/vnd.openxmlformats-officedocument.spreadsheetml.comments+xml"/>
  <Override PartName="/xl/drawings/drawing24.xml" ContentType="application/vnd.openxmlformats-officedocument.drawing+xml"/>
  <Override PartName="/xl/ctrlProps/ctrlProp23.xml" ContentType="application/vnd.ms-excel.controlproperties+xml"/>
  <Override PartName="/xl/comments24.xml" ContentType="application/vnd.openxmlformats-officedocument.spreadsheetml.comments+xml"/>
  <Override PartName="/xl/drawings/drawing2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6.xml" ContentType="application/vnd.openxmlformats-officedocument.drawing+xml"/>
  <Override PartName="/xl/ctrlProps/ctrlProp30.xml" ContentType="application/vnd.ms-excel.controlproperties+xml"/>
  <Override PartName="/xl/comments2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4" codeName="{00000000-0000-0000-0000-00000000000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ibc.sharepoint.com/sites/GRP-PBPTQAReleaseManagement/Shared Documents/Lending and Deposit DSR/"/>
    </mc:Choice>
  </mc:AlternateContent>
  <xr:revisionPtr revIDLastSave="132810" documentId="8_{7408A1EA-6240-4593-8C17-9CF0C79F812F}" xr6:coauthVersionLast="47" xr6:coauthVersionMax="47" xr10:uidLastSave="{1C459B35-2259-4576-8D32-5E5CC1B0AF84}"/>
  <bookViews>
    <workbookView xWindow="-110" yWindow="-110" windowWidth="19420" windowHeight="11500" tabRatio="1000" xr2:uid="{00000000-000D-0000-FFFF-FFFF00000000}"/>
  </bookViews>
  <sheets>
    <sheet name="Daily Dashboard" sheetId="4" r:id="rId1"/>
    <sheet name="Overall" sheetId="6" r:id="rId2"/>
    <sheet name="Index" sheetId="3" r:id="rId3"/>
    <sheet name="CBPTINTK-2800 IDP CA Foundation" sheetId="539" r:id="rId4"/>
    <sheet name="CBPTINTK-3965 - KC Optimization" sheetId="538" r:id="rId5"/>
    <sheet name="PBPT16393 Credit Maintenance Pl" sheetId="537" r:id="rId6"/>
    <sheet name="PBBT-23552 Excalibur to RCDW Mo" sheetId="536" r:id="rId7"/>
    <sheet name="PBBT-22425 Excalibur LFA_PBBT-2" sheetId="535" r:id="rId8"/>
    <sheet name="PBBT-22623 Eliminate IMDS Depen" sheetId="534" r:id="rId9"/>
    <sheet name="CBPTINTK-4313 Reverse Franchisi" sheetId="533" r:id="rId10"/>
    <sheet name="CBPTINTK-4105 Client at Risk CR" sheetId="532" r:id="rId11"/>
    <sheet name="CBPTINTK-23406 Upgrade DDGS Sma" sheetId="531" r:id="rId12"/>
    <sheet name="CBPTINTK-2616 Renewal Due Dilig" sheetId="530" r:id="rId13"/>
    <sheet name="Securitization November 2025 Re" sheetId="529" r:id="rId14"/>
    <sheet name="CBPTINTK-17774 Annual Mortgage " sheetId="528" r:id="rId15"/>
    <sheet name="PBBT-23572 RESL POD Shift Left" sheetId="527" r:id="rId16"/>
    <sheet name="PBBT-13832 DM Relationship 4,5," sheetId="526" r:id="rId17"/>
    <sheet name="CBPTINTK-23365 LCMS Funding Con" sheetId="525" r:id="rId18"/>
    <sheet name="CBPTINTK-3796 CLD &amp; Repricing L" sheetId="524" r:id="rId19"/>
    <sheet name="CBPTINTK-4356 CB Enhancements A" sheetId="523" r:id="rId20"/>
    <sheet name="CBPTINTK-3517 Property Insuranc" sheetId="522" r:id="rId21"/>
    <sheet name="CBPTINTK-3069 Project Guardian" sheetId="521" r:id="rId22"/>
    <sheet name="CBPTINT - 3291 CLP MVP 1 Renewa" sheetId="518" r:id="rId23"/>
    <sheet name="ATM PH Release 37.5" sheetId="517" r:id="rId24"/>
    <sheet name="POS Release 43" sheetId="516" r:id="rId25"/>
    <sheet name="CBBT-23569 PCR #5 Horizon Lendi" sheetId="512" r:id="rId26"/>
    <sheet name="Add Tab" sheetId="5" r:id="rId27"/>
    <sheet name="Base Tab" sheetId="2" r:id="rId28"/>
    <sheet name="Email Builder" sheetId="9" state="hidden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xlnp="http://schemas.microsoft.com/office/spreadsheetml/2019/extlinksprops" uri="{FCE6A71B-6B00-49CD-AB44-F6B1AE7CDE65}">
      <xxlnp:externalLinksPr autoRefresh="1"/>
    </ext>
  </extLst>
</workbook>
</file>

<file path=xl/calcChain.xml><?xml version="1.0" encoding="utf-8"?>
<calcChain xmlns="http://schemas.openxmlformats.org/spreadsheetml/2006/main">
  <c r="B4" i="4" l="1"/>
  <c r="O6" i="4"/>
  <c r="N6" i="4"/>
  <c r="M6" i="4"/>
  <c r="Z8" i="4"/>
  <c r="I6" i="4"/>
  <c r="G6" i="4"/>
  <c r="D140" i="6"/>
  <c r="C140" i="6"/>
  <c r="E134" i="6"/>
  <c r="D134" i="6"/>
  <c r="C134" i="6"/>
  <c r="B134" i="6"/>
  <c r="E133" i="6"/>
  <c r="D133" i="6"/>
  <c r="C133" i="6"/>
  <c r="B133" i="6"/>
  <c r="F132" i="6"/>
  <c r="E132" i="6"/>
  <c r="D132" i="6"/>
  <c r="C132" i="6"/>
  <c r="B132" i="6"/>
  <c r="E131" i="6"/>
  <c r="D131" i="6"/>
  <c r="C131" i="6"/>
  <c r="B131" i="6"/>
  <c r="F125" i="6"/>
  <c r="E125" i="6"/>
  <c r="D125" i="6"/>
  <c r="C125" i="6"/>
  <c r="F124" i="6"/>
  <c r="E124" i="6"/>
  <c r="D124" i="6"/>
  <c r="C124" i="6"/>
  <c r="F123" i="6"/>
  <c r="E123" i="6"/>
  <c r="D123" i="6"/>
  <c r="C123" i="6"/>
  <c r="F122" i="6"/>
  <c r="E122" i="6"/>
  <c r="D122" i="6"/>
  <c r="C122" i="6"/>
  <c r="F121" i="6"/>
  <c r="E121" i="6"/>
  <c r="D121" i="6"/>
  <c r="C121" i="6"/>
  <c r="F120" i="6"/>
  <c r="E120" i="6"/>
  <c r="D120" i="6"/>
  <c r="C120" i="6"/>
  <c r="F119" i="6"/>
  <c r="E119" i="6"/>
  <c r="D119" i="6"/>
  <c r="C119" i="6"/>
  <c r="F118" i="6"/>
  <c r="E118" i="6"/>
  <c r="D118" i="6"/>
  <c r="C118" i="6"/>
  <c r="F117" i="6"/>
  <c r="E117" i="6"/>
  <c r="D117" i="6"/>
  <c r="C117" i="6"/>
  <c r="F116" i="6"/>
  <c r="E116" i="6"/>
  <c r="D116" i="6"/>
  <c r="C116" i="6"/>
  <c r="F115" i="6"/>
  <c r="E115" i="6"/>
  <c r="D115" i="6"/>
  <c r="C115" i="6"/>
  <c r="F114" i="6"/>
  <c r="E114" i="6"/>
  <c r="D114" i="6"/>
  <c r="C114" i="6"/>
  <c r="F113" i="6"/>
  <c r="E113" i="6"/>
  <c r="D113" i="6"/>
  <c r="C113" i="6"/>
  <c r="B104" i="6"/>
  <c r="A104" i="6"/>
  <c r="E98" i="6"/>
  <c r="D98" i="6"/>
  <c r="C98" i="6"/>
  <c r="B98" i="6"/>
  <c r="E97" i="6"/>
  <c r="D97" i="6"/>
  <c r="C97" i="6"/>
  <c r="B97" i="6"/>
  <c r="E96" i="6"/>
  <c r="D96" i="6"/>
  <c r="C96" i="6"/>
  <c r="B96" i="6"/>
  <c r="E95" i="6"/>
  <c r="D95" i="6"/>
  <c r="C95" i="6"/>
  <c r="B95" i="6"/>
  <c r="E94" i="6"/>
  <c r="D94" i="6"/>
  <c r="C94" i="6"/>
  <c r="B94" i="6"/>
  <c r="E93" i="6"/>
  <c r="D93" i="6"/>
  <c r="C93" i="6"/>
  <c r="B93" i="6"/>
  <c r="E92" i="6"/>
  <c r="D92" i="6"/>
  <c r="C92" i="6"/>
  <c r="B92" i="6"/>
  <c r="E91" i="6"/>
  <c r="D91" i="6"/>
  <c r="C91" i="6"/>
  <c r="B91" i="6"/>
  <c r="E90" i="6"/>
  <c r="D90" i="6"/>
  <c r="C90" i="6"/>
  <c r="B90" i="6"/>
  <c r="C85" i="6"/>
  <c r="C84" i="6"/>
  <c r="C83" i="6"/>
  <c r="G77" i="6"/>
  <c r="E77" i="6"/>
  <c r="C77" i="6"/>
  <c r="G76" i="6"/>
  <c r="E76" i="6"/>
  <c r="C76" i="6"/>
  <c r="G75" i="6"/>
  <c r="E75" i="6"/>
  <c r="C75" i="6"/>
  <c r="G74" i="6"/>
  <c r="E74" i="6"/>
  <c r="C74" i="6"/>
  <c r="G73" i="6"/>
  <c r="E73" i="6"/>
  <c r="C73" i="6"/>
  <c r="G72" i="6"/>
  <c r="E72" i="6"/>
  <c r="C72" i="6"/>
  <c r="G71" i="6"/>
  <c r="E71" i="6"/>
  <c r="C71" i="6"/>
  <c r="G70" i="6"/>
  <c r="E70" i="6"/>
  <c r="C70" i="6"/>
  <c r="G69" i="6"/>
  <c r="E69" i="6"/>
  <c r="C69" i="6"/>
  <c r="G68" i="6"/>
  <c r="E68" i="6"/>
  <c r="C68" i="6"/>
  <c r="G67" i="6"/>
  <c r="E67" i="6"/>
  <c r="C67" i="6"/>
  <c r="G66" i="6"/>
  <c r="E66" i="6"/>
  <c r="C66" i="6"/>
  <c r="G65" i="6"/>
  <c r="E65" i="6"/>
  <c r="C65" i="6"/>
  <c r="G64" i="6"/>
  <c r="E64" i="6"/>
  <c r="C64" i="6"/>
  <c r="G63" i="6"/>
  <c r="E63" i="6"/>
  <c r="C63" i="6"/>
  <c r="G62" i="6"/>
  <c r="E62" i="6"/>
  <c r="C62" i="6"/>
  <c r="G61" i="6"/>
  <c r="E61" i="6"/>
  <c r="C61" i="6"/>
  <c r="G60" i="6"/>
  <c r="E60" i="6"/>
  <c r="C60" i="6"/>
  <c r="G59" i="6"/>
  <c r="E59" i="6"/>
  <c r="C59" i="6"/>
  <c r="D51" i="6"/>
  <c r="C51" i="6"/>
  <c r="D50" i="6"/>
  <c r="C50" i="6"/>
  <c r="D49" i="6"/>
  <c r="C49" i="6"/>
  <c r="D48" i="6"/>
  <c r="C48" i="6"/>
  <c r="D47" i="6"/>
  <c r="C47" i="6"/>
  <c r="D46" i="6"/>
  <c r="C46" i="6"/>
  <c r="D45" i="6"/>
  <c r="C45" i="6"/>
  <c r="D44" i="6"/>
  <c r="C44" i="6"/>
  <c r="D38" i="6"/>
  <c r="C38" i="6"/>
  <c r="D37" i="6"/>
  <c r="C37" i="6"/>
  <c r="D36" i="6"/>
  <c r="C36" i="6"/>
  <c r="D35" i="6"/>
  <c r="C35" i="6"/>
  <c r="D34" i="6"/>
  <c r="C34" i="6"/>
  <c r="D33" i="6"/>
  <c r="C33" i="6"/>
  <c r="D32" i="6"/>
  <c r="C32" i="6"/>
  <c r="D31" i="6"/>
  <c r="C31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C18" i="6"/>
  <c r="E156" i="539"/>
  <c r="E151" i="539"/>
  <c r="D151" i="539"/>
  <c r="C151" i="539"/>
  <c r="B151" i="539"/>
  <c r="G150" i="539"/>
  <c r="F150" i="539"/>
  <c r="F134" i="6" s="1"/>
  <c r="G149" i="539"/>
  <c r="F149" i="539"/>
  <c r="F133" i="6" s="1"/>
  <c r="G148" i="539"/>
  <c r="F148" i="539"/>
  <c r="G147" i="539"/>
  <c r="F147" i="539"/>
  <c r="F151" i="539" s="1"/>
  <c r="F142" i="539"/>
  <c r="E142" i="539"/>
  <c r="D142" i="539"/>
  <c r="C142" i="539"/>
  <c r="E115" i="539"/>
  <c r="D115" i="539"/>
  <c r="C115" i="539"/>
  <c r="B115" i="539"/>
  <c r="F115" i="539" s="1"/>
  <c r="K6" i="4" s="1"/>
  <c r="F114" i="539"/>
  <c r="F113" i="539"/>
  <c r="F112" i="539"/>
  <c r="F111" i="539"/>
  <c r="F110" i="539"/>
  <c r="F109" i="539"/>
  <c r="F108" i="539"/>
  <c r="F107" i="539"/>
  <c r="F106" i="539"/>
  <c r="G94" i="539"/>
  <c r="E94" i="539"/>
  <c r="C94" i="539"/>
  <c r="F68" i="539"/>
  <c r="E68" i="539"/>
  <c r="D68" i="539"/>
  <c r="C68" i="539"/>
  <c r="F67" i="539"/>
  <c r="E67" i="539"/>
  <c r="F66" i="539"/>
  <c r="E66" i="539"/>
  <c r="F65" i="539"/>
  <c r="E65" i="539"/>
  <c r="F64" i="539"/>
  <c r="E64" i="539"/>
  <c r="F63" i="539"/>
  <c r="E63" i="539"/>
  <c r="F62" i="539"/>
  <c r="E62" i="539"/>
  <c r="F61" i="539"/>
  <c r="E61" i="539"/>
  <c r="F60" i="539"/>
  <c r="E60" i="539"/>
  <c r="F55" i="539"/>
  <c r="D6" i="4" s="1"/>
  <c r="E55" i="539"/>
  <c r="D55" i="539"/>
  <c r="C55" i="539"/>
  <c r="F54" i="539"/>
  <c r="E54" i="539"/>
  <c r="F53" i="539"/>
  <c r="E53" i="539"/>
  <c r="F52" i="539"/>
  <c r="E52" i="539"/>
  <c r="F51" i="539"/>
  <c r="E51" i="539"/>
  <c r="F50" i="539"/>
  <c r="E50" i="539"/>
  <c r="F49" i="539"/>
  <c r="E49" i="539"/>
  <c r="F48" i="539"/>
  <c r="E48" i="539"/>
  <c r="E47" i="539"/>
  <c r="E46" i="539"/>
  <c r="E41" i="539"/>
  <c r="E40" i="539"/>
  <c r="E39" i="539"/>
  <c r="E38" i="539"/>
  <c r="E37" i="539"/>
  <c r="E36" i="539"/>
  <c r="E35" i="539"/>
  <c r="C6" i="539"/>
  <c r="B8" i="4"/>
  <c r="O10" i="4"/>
  <c r="N10" i="4"/>
  <c r="M10" i="4"/>
  <c r="Z40" i="4"/>
  <c r="I10" i="4"/>
  <c r="G10" i="4"/>
  <c r="F10" i="4"/>
  <c r="E10" i="4"/>
  <c r="E156" i="538"/>
  <c r="E151" i="538"/>
  <c r="D151" i="538"/>
  <c r="C151" i="538"/>
  <c r="B151" i="538"/>
  <c r="G150" i="538"/>
  <c r="F150" i="538"/>
  <c r="G149" i="538"/>
  <c r="F149" i="538"/>
  <c r="G148" i="538"/>
  <c r="F148" i="538"/>
  <c r="G147" i="538"/>
  <c r="F147" i="538"/>
  <c r="F151" i="538" s="1"/>
  <c r="F142" i="538"/>
  <c r="E142" i="538"/>
  <c r="D142" i="538"/>
  <c r="C142" i="538"/>
  <c r="E115" i="538"/>
  <c r="D115" i="538"/>
  <c r="C115" i="538"/>
  <c r="B115" i="538"/>
  <c r="F115" i="538" s="1"/>
  <c r="K10" i="4" s="1"/>
  <c r="F114" i="538"/>
  <c r="F113" i="538"/>
  <c r="F112" i="538"/>
  <c r="F111" i="538"/>
  <c r="F110" i="538"/>
  <c r="F109" i="538"/>
  <c r="F108" i="538"/>
  <c r="F107" i="538"/>
  <c r="F106" i="538"/>
  <c r="G94" i="538"/>
  <c r="E94" i="538"/>
  <c r="C94" i="538"/>
  <c r="F68" i="538"/>
  <c r="E68" i="538"/>
  <c r="D68" i="538"/>
  <c r="C68" i="538"/>
  <c r="F67" i="538"/>
  <c r="E67" i="538"/>
  <c r="F66" i="538"/>
  <c r="E66" i="538"/>
  <c r="F65" i="538"/>
  <c r="E65" i="538"/>
  <c r="F64" i="538"/>
  <c r="E64" i="538"/>
  <c r="F63" i="538"/>
  <c r="E63" i="538"/>
  <c r="F62" i="538"/>
  <c r="E62" i="538"/>
  <c r="F61" i="538"/>
  <c r="E61" i="538"/>
  <c r="F60" i="538"/>
  <c r="E60" i="538"/>
  <c r="F55" i="538"/>
  <c r="D10" i="4" s="1"/>
  <c r="E55" i="538"/>
  <c r="D55" i="538"/>
  <c r="C55" i="538"/>
  <c r="F54" i="538"/>
  <c r="E54" i="538"/>
  <c r="F53" i="538"/>
  <c r="E53" i="538"/>
  <c r="F52" i="538"/>
  <c r="E52" i="538"/>
  <c r="F51" i="538"/>
  <c r="E51" i="538"/>
  <c r="F50" i="538"/>
  <c r="E50" i="538"/>
  <c r="F49" i="538"/>
  <c r="E49" i="538"/>
  <c r="F48" i="538"/>
  <c r="E48" i="538"/>
  <c r="E47" i="538"/>
  <c r="E46" i="538"/>
  <c r="E41" i="538"/>
  <c r="E40" i="538"/>
  <c r="E39" i="538"/>
  <c r="E38" i="538"/>
  <c r="E37" i="538"/>
  <c r="E36" i="538"/>
  <c r="E35" i="538"/>
  <c r="C6" i="538"/>
  <c r="B40" i="4"/>
  <c r="O42" i="4"/>
  <c r="N42" i="4"/>
  <c r="M42" i="4"/>
  <c r="Z44" i="4"/>
  <c r="I42" i="4"/>
  <c r="G42" i="4"/>
  <c r="E156" i="537"/>
  <c r="E151" i="537"/>
  <c r="D151" i="537"/>
  <c r="C151" i="537"/>
  <c r="B151" i="537"/>
  <c r="G150" i="537"/>
  <c r="F150" i="537"/>
  <c r="G149" i="537"/>
  <c r="F149" i="537"/>
  <c r="G148" i="537"/>
  <c r="F148" i="537"/>
  <c r="G147" i="537"/>
  <c r="G151" i="537" s="1"/>
  <c r="F147" i="537"/>
  <c r="F151" i="537" s="1"/>
  <c r="F142" i="537"/>
  <c r="E142" i="537"/>
  <c r="D142" i="537"/>
  <c r="C142" i="537"/>
  <c r="E115" i="537"/>
  <c r="D115" i="537"/>
  <c r="C115" i="537"/>
  <c r="F115" i="537" s="1"/>
  <c r="K42" i="4" s="1"/>
  <c r="B115" i="537"/>
  <c r="F114" i="537"/>
  <c r="F113" i="537"/>
  <c r="F112" i="537"/>
  <c r="F111" i="537"/>
  <c r="F110" i="537"/>
  <c r="F109" i="537"/>
  <c r="F108" i="537"/>
  <c r="F107" i="537"/>
  <c r="F106" i="537"/>
  <c r="G94" i="537"/>
  <c r="E94" i="537"/>
  <c r="C94" i="537"/>
  <c r="F68" i="537"/>
  <c r="E68" i="537"/>
  <c r="D68" i="537"/>
  <c r="C68" i="537"/>
  <c r="F67" i="537"/>
  <c r="E67" i="537"/>
  <c r="F66" i="537"/>
  <c r="E66" i="537"/>
  <c r="F65" i="537"/>
  <c r="E65" i="537"/>
  <c r="F64" i="537"/>
  <c r="E64" i="537"/>
  <c r="F63" i="537"/>
  <c r="E63" i="537"/>
  <c r="F62" i="537"/>
  <c r="E62" i="537"/>
  <c r="F61" i="537"/>
  <c r="E61" i="537"/>
  <c r="F60" i="537"/>
  <c r="E60" i="537"/>
  <c r="F55" i="537"/>
  <c r="D42" i="4" s="1"/>
  <c r="E55" i="537"/>
  <c r="D55" i="537"/>
  <c r="C55" i="537"/>
  <c r="F54" i="537"/>
  <c r="E54" i="537"/>
  <c r="F53" i="537"/>
  <c r="E53" i="537"/>
  <c r="F52" i="537"/>
  <c r="E52" i="537"/>
  <c r="F51" i="537"/>
  <c r="E51" i="537"/>
  <c r="F50" i="537"/>
  <c r="E50" i="537"/>
  <c r="F49" i="537"/>
  <c r="E49" i="537"/>
  <c r="F48" i="537"/>
  <c r="E48" i="537"/>
  <c r="E47" i="537"/>
  <c r="E46" i="537"/>
  <c r="E41" i="537"/>
  <c r="E40" i="537"/>
  <c r="E39" i="537"/>
  <c r="E38" i="537"/>
  <c r="E37" i="537"/>
  <c r="E36" i="537"/>
  <c r="E35" i="537"/>
  <c r="C6" i="537"/>
  <c r="B44" i="4"/>
  <c r="O46" i="4"/>
  <c r="N46" i="4"/>
  <c r="M46" i="4"/>
  <c r="Z48" i="4"/>
  <c r="I46" i="4"/>
  <c r="G46" i="4"/>
  <c r="E156" i="536"/>
  <c r="E151" i="536"/>
  <c r="D151" i="536"/>
  <c r="C151" i="536"/>
  <c r="B151" i="536"/>
  <c r="G150" i="536"/>
  <c r="F150" i="536"/>
  <c r="G149" i="536"/>
  <c r="F149" i="536"/>
  <c r="G148" i="536"/>
  <c r="F148" i="536"/>
  <c r="G147" i="536"/>
  <c r="G151" i="536" s="1"/>
  <c r="F147" i="536"/>
  <c r="F142" i="536"/>
  <c r="E142" i="536"/>
  <c r="D142" i="536"/>
  <c r="C142" i="536"/>
  <c r="E115" i="536"/>
  <c r="D115" i="536"/>
  <c r="C115" i="536"/>
  <c r="B115" i="536"/>
  <c r="F114" i="536"/>
  <c r="F113" i="536"/>
  <c r="F112" i="536"/>
  <c r="F111" i="536"/>
  <c r="F110" i="536"/>
  <c r="F109" i="536"/>
  <c r="F108" i="536"/>
  <c r="F107" i="536"/>
  <c r="F106" i="536"/>
  <c r="G94" i="536"/>
  <c r="E94" i="536"/>
  <c r="C94" i="536"/>
  <c r="F68" i="536"/>
  <c r="E68" i="536"/>
  <c r="D68" i="536"/>
  <c r="C68" i="536"/>
  <c r="F67" i="536"/>
  <c r="E67" i="536"/>
  <c r="F66" i="536"/>
  <c r="E66" i="536"/>
  <c r="F65" i="536"/>
  <c r="E65" i="536"/>
  <c r="F64" i="536"/>
  <c r="E64" i="536"/>
  <c r="F63" i="536"/>
  <c r="E63" i="536"/>
  <c r="F62" i="536"/>
  <c r="E62" i="536"/>
  <c r="F61" i="536"/>
  <c r="E61" i="536"/>
  <c r="F60" i="536"/>
  <c r="E60" i="536"/>
  <c r="F55" i="536"/>
  <c r="D46" i="4" s="1"/>
  <c r="E55" i="536"/>
  <c r="D55" i="536"/>
  <c r="C55" i="536"/>
  <c r="F54" i="536"/>
  <c r="E54" i="536"/>
  <c r="F53" i="536"/>
  <c r="E53" i="536"/>
  <c r="F52" i="536"/>
  <c r="E52" i="536"/>
  <c r="F51" i="536"/>
  <c r="E51" i="536"/>
  <c r="F50" i="536"/>
  <c r="E50" i="536"/>
  <c r="F49" i="536"/>
  <c r="E49" i="536"/>
  <c r="F48" i="536"/>
  <c r="E48" i="536"/>
  <c r="E47" i="536"/>
  <c r="E46" i="536"/>
  <c r="E41" i="536"/>
  <c r="E40" i="536"/>
  <c r="E39" i="536"/>
  <c r="E38" i="536"/>
  <c r="E37" i="536"/>
  <c r="E36" i="536"/>
  <c r="E35" i="536"/>
  <c r="C6" i="536"/>
  <c r="B48" i="4"/>
  <c r="O50" i="4"/>
  <c r="N50" i="4"/>
  <c r="M50" i="4"/>
  <c r="Z12" i="4"/>
  <c r="I50" i="4"/>
  <c r="G50" i="4"/>
  <c r="E156" i="535"/>
  <c r="E151" i="535"/>
  <c r="D151" i="535"/>
  <c r="C151" i="535"/>
  <c r="B151" i="535"/>
  <c r="G150" i="535"/>
  <c r="F150" i="535"/>
  <c r="G149" i="535"/>
  <c r="F149" i="535"/>
  <c r="G148" i="535"/>
  <c r="F148" i="535"/>
  <c r="G147" i="535"/>
  <c r="F147" i="535"/>
  <c r="F142" i="535"/>
  <c r="E142" i="535"/>
  <c r="D142" i="535"/>
  <c r="C142" i="535"/>
  <c r="E115" i="535"/>
  <c r="D115" i="535"/>
  <c r="C115" i="535"/>
  <c r="B115" i="535"/>
  <c r="F115" i="535" s="1"/>
  <c r="K50" i="4" s="1"/>
  <c r="F114" i="535"/>
  <c r="F113" i="535"/>
  <c r="F112" i="535"/>
  <c r="F111" i="535"/>
  <c r="F110" i="535"/>
  <c r="F109" i="535"/>
  <c r="F108" i="535"/>
  <c r="F107" i="535"/>
  <c r="F106" i="535"/>
  <c r="G94" i="535"/>
  <c r="E94" i="535"/>
  <c r="C94" i="535"/>
  <c r="F68" i="535"/>
  <c r="E68" i="535"/>
  <c r="D68" i="535"/>
  <c r="C68" i="535"/>
  <c r="F67" i="535"/>
  <c r="E67" i="535"/>
  <c r="F66" i="535"/>
  <c r="E66" i="535"/>
  <c r="F65" i="535"/>
  <c r="E65" i="535"/>
  <c r="F64" i="535"/>
  <c r="E64" i="535"/>
  <c r="F63" i="535"/>
  <c r="E63" i="535"/>
  <c r="F62" i="535"/>
  <c r="E62" i="535"/>
  <c r="F61" i="535"/>
  <c r="E61" i="535"/>
  <c r="F60" i="535"/>
  <c r="E60" i="535"/>
  <c r="F55" i="535"/>
  <c r="D50" i="4" s="1"/>
  <c r="E55" i="535"/>
  <c r="D55" i="535"/>
  <c r="C55" i="535"/>
  <c r="F54" i="535"/>
  <c r="E54" i="535"/>
  <c r="F53" i="535"/>
  <c r="E53" i="535"/>
  <c r="F52" i="535"/>
  <c r="E52" i="535"/>
  <c r="F51" i="535"/>
  <c r="E51" i="535"/>
  <c r="F50" i="535"/>
  <c r="E50" i="535"/>
  <c r="F49" i="535"/>
  <c r="E49" i="535"/>
  <c r="F48" i="535"/>
  <c r="E48" i="535"/>
  <c r="E47" i="535"/>
  <c r="E46" i="535"/>
  <c r="E41" i="535"/>
  <c r="E40" i="535"/>
  <c r="E39" i="535"/>
  <c r="E38" i="535"/>
  <c r="E37" i="535"/>
  <c r="E36" i="535"/>
  <c r="E35" i="535"/>
  <c r="C6" i="535"/>
  <c r="G18" i="4"/>
  <c r="B28" i="4"/>
  <c r="O30" i="4"/>
  <c r="N30" i="4"/>
  <c r="M30" i="4"/>
  <c r="I30" i="4"/>
  <c r="G30" i="4"/>
  <c r="E156" i="534"/>
  <c r="E151" i="534"/>
  <c r="D151" i="534"/>
  <c r="C151" i="534"/>
  <c r="B151" i="534"/>
  <c r="G150" i="534"/>
  <c r="F150" i="534"/>
  <c r="G149" i="534"/>
  <c r="F149" i="534"/>
  <c r="G148" i="534"/>
  <c r="F148" i="534"/>
  <c r="G147" i="534"/>
  <c r="F147" i="534"/>
  <c r="F142" i="534"/>
  <c r="E142" i="534"/>
  <c r="D142" i="534"/>
  <c r="C142" i="534"/>
  <c r="E115" i="534"/>
  <c r="D115" i="534"/>
  <c r="C115" i="534"/>
  <c r="B115" i="534"/>
  <c r="F115" i="534" s="1"/>
  <c r="K30" i="4" s="1"/>
  <c r="F114" i="534"/>
  <c r="F113" i="534"/>
  <c r="F112" i="534"/>
  <c r="F111" i="534"/>
  <c r="F110" i="534"/>
  <c r="F109" i="534"/>
  <c r="F108" i="534"/>
  <c r="F107" i="534"/>
  <c r="F106" i="534"/>
  <c r="G94" i="534"/>
  <c r="E94" i="534"/>
  <c r="C94" i="534"/>
  <c r="F68" i="534"/>
  <c r="E68" i="534"/>
  <c r="D68" i="534"/>
  <c r="C68" i="534"/>
  <c r="F67" i="534"/>
  <c r="E67" i="534"/>
  <c r="F66" i="534"/>
  <c r="E66" i="534"/>
  <c r="F65" i="534"/>
  <c r="E65" i="534"/>
  <c r="F64" i="534"/>
  <c r="E64" i="534"/>
  <c r="F63" i="534"/>
  <c r="E63" i="534"/>
  <c r="F62" i="534"/>
  <c r="E62" i="534"/>
  <c r="F61" i="534"/>
  <c r="E61" i="534"/>
  <c r="F60" i="534"/>
  <c r="E60" i="534"/>
  <c r="F55" i="534"/>
  <c r="D30" i="4" s="1"/>
  <c r="E55" i="534"/>
  <c r="D55" i="534"/>
  <c r="C55" i="534"/>
  <c r="F54" i="534"/>
  <c r="E54" i="534"/>
  <c r="F53" i="534"/>
  <c r="E53" i="534"/>
  <c r="F52" i="534"/>
  <c r="E52" i="534"/>
  <c r="F51" i="534"/>
  <c r="E51" i="534"/>
  <c r="F50" i="534"/>
  <c r="E50" i="534"/>
  <c r="F49" i="534"/>
  <c r="E49" i="534"/>
  <c r="F48" i="534"/>
  <c r="E48" i="534"/>
  <c r="E47" i="534"/>
  <c r="E46" i="534"/>
  <c r="E41" i="534"/>
  <c r="E40" i="534"/>
  <c r="E39" i="534"/>
  <c r="E38" i="534"/>
  <c r="E37" i="534"/>
  <c r="E36" i="534"/>
  <c r="E35" i="534"/>
  <c r="C6" i="534"/>
  <c r="B36" i="4"/>
  <c r="O38" i="4"/>
  <c r="N38" i="4"/>
  <c r="M38" i="4"/>
  <c r="I38" i="4"/>
  <c r="G38" i="4"/>
  <c r="E156" i="533"/>
  <c r="E151" i="533"/>
  <c r="D151" i="533"/>
  <c r="C151" i="533"/>
  <c r="B151" i="533"/>
  <c r="G150" i="533"/>
  <c r="F150" i="533"/>
  <c r="G149" i="533"/>
  <c r="F149" i="533"/>
  <c r="G148" i="533"/>
  <c r="F148" i="533"/>
  <c r="G147" i="533"/>
  <c r="G151" i="533" s="1"/>
  <c r="F147" i="533"/>
  <c r="F142" i="533"/>
  <c r="E142" i="533"/>
  <c r="D142" i="533"/>
  <c r="C142" i="533"/>
  <c r="E115" i="533"/>
  <c r="D115" i="533"/>
  <c r="C115" i="533"/>
  <c r="B115" i="533"/>
  <c r="F114" i="533"/>
  <c r="F113" i="533"/>
  <c r="F112" i="533"/>
  <c r="F111" i="533"/>
  <c r="F110" i="533"/>
  <c r="F109" i="533"/>
  <c r="F108" i="533"/>
  <c r="F107" i="533"/>
  <c r="F106" i="533"/>
  <c r="G94" i="533"/>
  <c r="E94" i="533"/>
  <c r="C94" i="533"/>
  <c r="F68" i="533"/>
  <c r="E68" i="533"/>
  <c r="D68" i="533"/>
  <c r="C68" i="533"/>
  <c r="F67" i="533"/>
  <c r="E67" i="533"/>
  <c r="F66" i="533"/>
  <c r="E66" i="533"/>
  <c r="F65" i="533"/>
  <c r="E65" i="533"/>
  <c r="F64" i="533"/>
  <c r="E64" i="533"/>
  <c r="F63" i="533"/>
  <c r="E63" i="533"/>
  <c r="F62" i="533"/>
  <c r="E62" i="533"/>
  <c r="F61" i="533"/>
  <c r="E61" i="533"/>
  <c r="F60" i="533"/>
  <c r="E60" i="533"/>
  <c r="F55" i="533"/>
  <c r="D38" i="4" s="1"/>
  <c r="E55" i="533"/>
  <c r="D55" i="533"/>
  <c r="C55" i="533"/>
  <c r="F54" i="533"/>
  <c r="E54" i="533"/>
  <c r="F53" i="533"/>
  <c r="E53" i="533"/>
  <c r="F52" i="533"/>
  <c r="E52" i="533"/>
  <c r="F51" i="533"/>
  <c r="E51" i="533"/>
  <c r="F50" i="533"/>
  <c r="E50" i="533"/>
  <c r="F49" i="533"/>
  <c r="E49" i="533"/>
  <c r="F48" i="533"/>
  <c r="E48" i="533"/>
  <c r="E47" i="533"/>
  <c r="E46" i="533"/>
  <c r="E41" i="533"/>
  <c r="E40" i="533"/>
  <c r="E39" i="533"/>
  <c r="E38" i="533"/>
  <c r="E37" i="533"/>
  <c r="E36" i="533"/>
  <c r="E35" i="533"/>
  <c r="C6" i="533"/>
  <c r="B32" i="4"/>
  <c r="O34" i="4"/>
  <c r="N34" i="4"/>
  <c r="M34" i="4"/>
  <c r="I34" i="4"/>
  <c r="G34" i="4"/>
  <c r="E156" i="532"/>
  <c r="E151" i="532"/>
  <c r="D151" i="532"/>
  <c r="C151" i="532"/>
  <c r="B151" i="532"/>
  <c r="G150" i="532"/>
  <c r="F150" i="532"/>
  <c r="G149" i="532"/>
  <c r="F149" i="532"/>
  <c r="G148" i="532"/>
  <c r="F148" i="532"/>
  <c r="G147" i="532"/>
  <c r="G151" i="532" s="1"/>
  <c r="F147" i="532"/>
  <c r="F151" i="532" s="1"/>
  <c r="F142" i="532"/>
  <c r="E142" i="532"/>
  <c r="D142" i="532"/>
  <c r="C142" i="532"/>
  <c r="E115" i="532"/>
  <c r="D115" i="532"/>
  <c r="C115" i="532"/>
  <c r="B115" i="532"/>
  <c r="F114" i="532"/>
  <c r="F113" i="532"/>
  <c r="F112" i="532"/>
  <c r="F111" i="532"/>
  <c r="F110" i="532"/>
  <c r="F109" i="532"/>
  <c r="F108" i="532"/>
  <c r="F107" i="532"/>
  <c r="F106" i="532"/>
  <c r="G94" i="532"/>
  <c r="E94" i="532"/>
  <c r="C94" i="532"/>
  <c r="F68" i="532"/>
  <c r="E68" i="532"/>
  <c r="D68" i="532"/>
  <c r="C68" i="532"/>
  <c r="F67" i="532"/>
  <c r="E67" i="532"/>
  <c r="F66" i="532"/>
  <c r="E66" i="532"/>
  <c r="F65" i="532"/>
  <c r="E65" i="532"/>
  <c r="F64" i="532"/>
  <c r="E64" i="532"/>
  <c r="F63" i="532"/>
  <c r="E63" i="532"/>
  <c r="F62" i="532"/>
  <c r="E62" i="532"/>
  <c r="F61" i="532"/>
  <c r="E61" i="532"/>
  <c r="F60" i="532"/>
  <c r="E60" i="532"/>
  <c r="F55" i="532"/>
  <c r="D34" i="4" s="1"/>
  <c r="E55" i="532"/>
  <c r="D55" i="532"/>
  <c r="C55" i="532"/>
  <c r="F54" i="532"/>
  <c r="E54" i="532"/>
  <c r="F53" i="532"/>
  <c r="E53" i="532"/>
  <c r="F52" i="532"/>
  <c r="E52" i="532"/>
  <c r="F51" i="532"/>
  <c r="E51" i="532"/>
  <c r="F50" i="532"/>
  <c r="E50" i="532"/>
  <c r="F49" i="532"/>
  <c r="E49" i="532"/>
  <c r="F48" i="532"/>
  <c r="E48" i="532"/>
  <c r="E47" i="532"/>
  <c r="E46" i="532"/>
  <c r="E41" i="532"/>
  <c r="E40" i="532"/>
  <c r="E39" i="532"/>
  <c r="E38" i="532"/>
  <c r="E37" i="532"/>
  <c r="E36" i="532"/>
  <c r="E35" i="532"/>
  <c r="C6" i="532"/>
  <c r="B12" i="4"/>
  <c r="O14" i="4"/>
  <c r="N14" i="4"/>
  <c r="M14" i="4"/>
  <c r="I14" i="4"/>
  <c r="G14" i="4"/>
  <c r="E156" i="531"/>
  <c r="E151" i="531"/>
  <c r="D151" i="531"/>
  <c r="C151" i="531"/>
  <c r="B151" i="531"/>
  <c r="G150" i="531"/>
  <c r="F150" i="531"/>
  <c r="G149" i="531"/>
  <c r="F149" i="531"/>
  <c r="G148" i="531"/>
  <c r="F148" i="531"/>
  <c r="G147" i="531"/>
  <c r="F147" i="531"/>
  <c r="F151" i="531" s="1"/>
  <c r="F142" i="531"/>
  <c r="E142" i="531"/>
  <c r="D142" i="531"/>
  <c r="C142" i="531"/>
  <c r="E115" i="531"/>
  <c r="D115" i="531"/>
  <c r="C115" i="531"/>
  <c r="B115" i="531"/>
  <c r="F114" i="531"/>
  <c r="F113" i="531"/>
  <c r="F112" i="531"/>
  <c r="F111" i="531"/>
  <c r="F110" i="531"/>
  <c r="F109" i="531"/>
  <c r="F108" i="531"/>
  <c r="F107" i="531"/>
  <c r="F106" i="531"/>
  <c r="G94" i="531"/>
  <c r="E94" i="531"/>
  <c r="C94" i="531"/>
  <c r="F68" i="531"/>
  <c r="E68" i="531"/>
  <c r="D68" i="531"/>
  <c r="C68" i="531"/>
  <c r="F67" i="531"/>
  <c r="E67" i="531"/>
  <c r="F66" i="531"/>
  <c r="E66" i="531"/>
  <c r="F65" i="531"/>
  <c r="E65" i="531"/>
  <c r="F64" i="531"/>
  <c r="E64" i="531"/>
  <c r="F63" i="531"/>
  <c r="E63" i="531"/>
  <c r="F62" i="531"/>
  <c r="E62" i="531"/>
  <c r="F61" i="531"/>
  <c r="E61" i="531"/>
  <c r="F60" i="531"/>
  <c r="E60" i="531"/>
  <c r="F55" i="531"/>
  <c r="D14" i="4" s="1"/>
  <c r="E55" i="531"/>
  <c r="D55" i="531"/>
  <c r="C55" i="531"/>
  <c r="F54" i="531"/>
  <c r="E54" i="531"/>
  <c r="F53" i="531"/>
  <c r="E53" i="531"/>
  <c r="F52" i="531"/>
  <c r="E52" i="531"/>
  <c r="F51" i="531"/>
  <c r="E51" i="531"/>
  <c r="F50" i="531"/>
  <c r="E50" i="531"/>
  <c r="F49" i="531"/>
  <c r="E49" i="531"/>
  <c r="F48" i="531"/>
  <c r="E48" i="531"/>
  <c r="E47" i="531"/>
  <c r="E46" i="531"/>
  <c r="E41" i="531"/>
  <c r="E40" i="531"/>
  <c r="E39" i="531"/>
  <c r="E38" i="531"/>
  <c r="E37" i="531"/>
  <c r="E36" i="531"/>
  <c r="E35" i="531"/>
  <c r="C6" i="531"/>
  <c r="B20" i="4"/>
  <c r="O22" i="4"/>
  <c r="N22" i="4"/>
  <c r="M22" i="4"/>
  <c r="I22" i="4"/>
  <c r="G22" i="4"/>
  <c r="E156" i="530"/>
  <c r="E151" i="530"/>
  <c r="D151" i="530"/>
  <c r="C151" i="530"/>
  <c r="B151" i="530"/>
  <c r="G150" i="530"/>
  <c r="F150" i="530"/>
  <c r="G149" i="530"/>
  <c r="F149" i="530"/>
  <c r="G148" i="530"/>
  <c r="F148" i="530"/>
  <c r="G147" i="530"/>
  <c r="F147" i="530"/>
  <c r="F151" i="530" s="1"/>
  <c r="F142" i="530"/>
  <c r="E142" i="530"/>
  <c r="D142" i="530"/>
  <c r="C142" i="530"/>
  <c r="E115" i="530"/>
  <c r="D115" i="530"/>
  <c r="C115" i="530"/>
  <c r="B115" i="530"/>
  <c r="F114" i="530"/>
  <c r="F113" i="530"/>
  <c r="F112" i="530"/>
  <c r="F111" i="530"/>
  <c r="F110" i="530"/>
  <c r="F109" i="530"/>
  <c r="F108" i="530"/>
  <c r="F107" i="530"/>
  <c r="F106" i="530"/>
  <c r="G94" i="530"/>
  <c r="E94" i="530"/>
  <c r="C94" i="530"/>
  <c r="F68" i="530"/>
  <c r="E68" i="530"/>
  <c r="D68" i="530"/>
  <c r="C68" i="530"/>
  <c r="F67" i="530"/>
  <c r="E67" i="530"/>
  <c r="F66" i="530"/>
  <c r="E66" i="530"/>
  <c r="F65" i="530"/>
  <c r="E65" i="530"/>
  <c r="F64" i="530"/>
  <c r="E64" i="530"/>
  <c r="F63" i="530"/>
  <c r="E63" i="530"/>
  <c r="F62" i="530"/>
  <c r="E62" i="530"/>
  <c r="F61" i="530"/>
  <c r="E61" i="530"/>
  <c r="F60" i="530"/>
  <c r="E60" i="530"/>
  <c r="F55" i="530"/>
  <c r="D22" i="4" s="1"/>
  <c r="E55" i="530"/>
  <c r="D55" i="530"/>
  <c r="C55" i="530"/>
  <c r="F54" i="530"/>
  <c r="E54" i="530"/>
  <c r="F53" i="530"/>
  <c r="E53" i="530"/>
  <c r="F52" i="530"/>
  <c r="E52" i="530"/>
  <c r="F51" i="530"/>
  <c r="E51" i="530"/>
  <c r="F50" i="530"/>
  <c r="E50" i="530"/>
  <c r="F49" i="530"/>
  <c r="E49" i="530"/>
  <c r="F48" i="530"/>
  <c r="E48" i="530"/>
  <c r="E47" i="530"/>
  <c r="E46" i="530"/>
  <c r="E41" i="530"/>
  <c r="E40" i="530"/>
  <c r="E39" i="530"/>
  <c r="E38" i="530"/>
  <c r="E37" i="530"/>
  <c r="E36" i="530"/>
  <c r="E35" i="530"/>
  <c r="C6" i="530"/>
  <c r="B52" i="4"/>
  <c r="O54" i="4"/>
  <c r="N54" i="4"/>
  <c r="M54" i="4"/>
  <c r="I54" i="4"/>
  <c r="G54" i="4"/>
  <c r="E156" i="529"/>
  <c r="E151" i="529"/>
  <c r="D151" i="529"/>
  <c r="C151" i="529"/>
  <c r="B151" i="529"/>
  <c r="G150" i="529"/>
  <c r="F150" i="529"/>
  <c r="G149" i="529"/>
  <c r="F149" i="529"/>
  <c r="G148" i="529"/>
  <c r="F148" i="529"/>
  <c r="G147" i="529"/>
  <c r="F147" i="529"/>
  <c r="F142" i="529"/>
  <c r="E142" i="529"/>
  <c r="D142" i="529"/>
  <c r="C142" i="529"/>
  <c r="E115" i="529"/>
  <c r="D115" i="529"/>
  <c r="C115" i="529"/>
  <c r="B115" i="529"/>
  <c r="F114" i="529"/>
  <c r="F113" i="529"/>
  <c r="F112" i="529"/>
  <c r="F111" i="529"/>
  <c r="F110" i="529"/>
  <c r="F109" i="529"/>
  <c r="F108" i="529"/>
  <c r="F107" i="529"/>
  <c r="F106" i="529"/>
  <c r="G94" i="529"/>
  <c r="E94" i="529"/>
  <c r="C94" i="529"/>
  <c r="F68" i="529"/>
  <c r="E68" i="529"/>
  <c r="D68" i="529"/>
  <c r="C68" i="529"/>
  <c r="F67" i="529"/>
  <c r="E67" i="529"/>
  <c r="F66" i="529"/>
  <c r="E66" i="529"/>
  <c r="F65" i="529"/>
  <c r="E65" i="529"/>
  <c r="F64" i="529"/>
  <c r="E64" i="529"/>
  <c r="F63" i="529"/>
  <c r="E63" i="529"/>
  <c r="F62" i="529"/>
  <c r="E62" i="529"/>
  <c r="F61" i="529"/>
  <c r="E61" i="529"/>
  <c r="F60" i="529"/>
  <c r="E60" i="529"/>
  <c r="F55" i="529"/>
  <c r="D54" i="4" s="1"/>
  <c r="E55" i="529"/>
  <c r="D55" i="529"/>
  <c r="C55" i="529"/>
  <c r="F54" i="529"/>
  <c r="E54" i="529"/>
  <c r="F53" i="529"/>
  <c r="E53" i="529"/>
  <c r="F52" i="529"/>
  <c r="E52" i="529"/>
  <c r="F51" i="529"/>
  <c r="E51" i="529"/>
  <c r="F50" i="529"/>
  <c r="E50" i="529"/>
  <c r="F49" i="529"/>
  <c r="E49" i="529"/>
  <c r="F48" i="529"/>
  <c r="E48" i="529"/>
  <c r="E47" i="529"/>
  <c r="E46" i="529"/>
  <c r="E41" i="529"/>
  <c r="E40" i="529"/>
  <c r="E39" i="529"/>
  <c r="E38" i="529"/>
  <c r="E37" i="529"/>
  <c r="E36" i="529"/>
  <c r="E35" i="529"/>
  <c r="C6" i="529"/>
  <c r="B56" i="4"/>
  <c r="O58" i="4"/>
  <c r="N58" i="4"/>
  <c r="M58" i="4"/>
  <c r="I58" i="4"/>
  <c r="G58" i="4"/>
  <c r="E156" i="528"/>
  <c r="E151" i="528"/>
  <c r="D151" i="528"/>
  <c r="C151" i="528"/>
  <c r="B151" i="528"/>
  <c r="G150" i="528"/>
  <c r="F150" i="528"/>
  <c r="G149" i="528"/>
  <c r="F149" i="528"/>
  <c r="G148" i="528"/>
  <c r="F148" i="528"/>
  <c r="G147" i="528"/>
  <c r="G151" i="528" s="1"/>
  <c r="F147" i="528"/>
  <c r="F151" i="528" s="1"/>
  <c r="F142" i="528"/>
  <c r="E142" i="528"/>
  <c r="D142" i="528"/>
  <c r="C142" i="528"/>
  <c r="E115" i="528"/>
  <c r="D115" i="528"/>
  <c r="C115" i="528"/>
  <c r="B115" i="528"/>
  <c r="F114" i="528"/>
  <c r="F113" i="528"/>
  <c r="F112" i="528"/>
  <c r="F111" i="528"/>
  <c r="F110" i="528"/>
  <c r="F109" i="528"/>
  <c r="F108" i="528"/>
  <c r="F107" i="528"/>
  <c r="F106" i="528"/>
  <c r="G94" i="528"/>
  <c r="E94" i="528"/>
  <c r="C94" i="528"/>
  <c r="F68" i="528"/>
  <c r="E68" i="528"/>
  <c r="D68" i="528"/>
  <c r="C68" i="528"/>
  <c r="F67" i="528"/>
  <c r="E67" i="528"/>
  <c r="F66" i="528"/>
  <c r="E66" i="528"/>
  <c r="F65" i="528"/>
  <c r="E65" i="528"/>
  <c r="F64" i="528"/>
  <c r="E64" i="528"/>
  <c r="F63" i="528"/>
  <c r="E63" i="528"/>
  <c r="F62" i="528"/>
  <c r="E62" i="528"/>
  <c r="F61" i="528"/>
  <c r="E61" i="528"/>
  <c r="F60" i="528"/>
  <c r="E60" i="528"/>
  <c r="F55" i="528"/>
  <c r="D58" i="4" s="1"/>
  <c r="E55" i="528"/>
  <c r="D55" i="528"/>
  <c r="C55" i="528"/>
  <c r="F54" i="528"/>
  <c r="E54" i="528"/>
  <c r="F53" i="528"/>
  <c r="E53" i="528"/>
  <c r="F52" i="528"/>
  <c r="E52" i="528"/>
  <c r="F51" i="528"/>
  <c r="E51" i="528"/>
  <c r="F50" i="528"/>
  <c r="E50" i="528"/>
  <c r="F49" i="528"/>
  <c r="E49" i="528"/>
  <c r="F48" i="528"/>
  <c r="E48" i="528"/>
  <c r="E47" i="528"/>
  <c r="E46" i="528"/>
  <c r="E41" i="528"/>
  <c r="E40" i="528"/>
  <c r="E39" i="528"/>
  <c r="E38" i="528"/>
  <c r="E37" i="528"/>
  <c r="E36" i="528"/>
  <c r="E35" i="528"/>
  <c r="C6" i="528"/>
  <c r="B24" i="4"/>
  <c r="O26" i="4"/>
  <c r="N26" i="4"/>
  <c r="M26" i="4"/>
  <c r="I26" i="4"/>
  <c r="G26" i="4"/>
  <c r="E156" i="527"/>
  <c r="E151" i="527"/>
  <c r="D151" i="527"/>
  <c r="C151" i="527"/>
  <c r="B151" i="527"/>
  <c r="G150" i="527"/>
  <c r="F150" i="527"/>
  <c r="G149" i="527"/>
  <c r="F149" i="527"/>
  <c r="G148" i="527"/>
  <c r="F148" i="527"/>
  <c r="G147" i="527"/>
  <c r="F147" i="527"/>
  <c r="F142" i="527"/>
  <c r="E142" i="527"/>
  <c r="D142" i="527"/>
  <c r="C142" i="527"/>
  <c r="E115" i="527"/>
  <c r="D115" i="527"/>
  <c r="C115" i="527"/>
  <c r="B115" i="527"/>
  <c r="F114" i="527"/>
  <c r="F113" i="527"/>
  <c r="F112" i="527"/>
  <c r="F111" i="527"/>
  <c r="F110" i="527"/>
  <c r="F109" i="527"/>
  <c r="F108" i="527"/>
  <c r="F107" i="527"/>
  <c r="F106" i="527"/>
  <c r="G94" i="527"/>
  <c r="E94" i="527"/>
  <c r="C94" i="527"/>
  <c r="F68" i="527"/>
  <c r="E68" i="527"/>
  <c r="D68" i="527"/>
  <c r="C68" i="527"/>
  <c r="F67" i="527"/>
  <c r="E67" i="527"/>
  <c r="F66" i="527"/>
  <c r="E66" i="527"/>
  <c r="F65" i="527"/>
  <c r="E65" i="527"/>
  <c r="F64" i="527"/>
  <c r="E64" i="527"/>
  <c r="F63" i="527"/>
  <c r="E63" i="527"/>
  <c r="F62" i="527"/>
  <c r="E62" i="527"/>
  <c r="F61" i="527"/>
  <c r="E61" i="527"/>
  <c r="F60" i="527"/>
  <c r="E60" i="527"/>
  <c r="F55" i="527"/>
  <c r="D26" i="4" s="1"/>
  <c r="E55" i="527"/>
  <c r="D55" i="527"/>
  <c r="C55" i="527"/>
  <c r="F54" i="527"/>
  <c r="E54" i="527"/>
  <c r="F53" i="527"/>
  <c r="E53" i="527"/>
  <c r="F52" i="527"/>
  <c r="E52" i="527"/>
  <c r="F51" i="527"/>
  <c r="E51" i="527"/>
  <c r="F50" i="527"/>
  <c r="E50" i="527"/>
  <c r="F49" i="527"/>
  <c r="E49" i="527"/>
  <c r="F48" i="527"/>
  <c r="E48" i="527"/>
  <c r="E47" i="527"/>
  <c r="E46" i="527"/>
  <c r="E41" i="527"/>
  <c r="E40" i="527"/>
  <c r="E39" i="527"/>
  <c r="E38" i="527"/>
  <c r="E37" i="527"/>
  <c r="E36" i="527"/>
  <c r="E35" i="527"/>
  <c r="C6" i="527"/>
  <c r="B60" i="4"/>
  <c r="O62" i="4"/>
  <c r="N62" i="4"/>
  <c r="M62" i="4"/>
  <c r="I62" i="4"/>
  <c r="G62" i="4"/>
  <c r="E156" i="526"/>
  <c r="E151" i="526"/>
  <c r="D151" i="526"/>
  <c r="C151" i="526"/>
  <c r="B151" i="526"/>
  <c r="G150" i="526"/>
  <c r="F150" i="526"/>
  <c r="G149" i="526"/>
  <c r="F149" i="526"/>
  <c r="G148" i="526"/>
  <c r="F148" i="526"/>
  <c r="G147" i="526"/>
  <c r="G151" i="526" s="1"/>
  <c r="F147" i="526"/>
  <c r="F142" i="526"/>
  <c r="E142" i="526"/>
  <c r="D142" i="526"/>
  <c r="C142" i="526"/>
  <c r="E115" i="526"/>
  <c r="D115" i="526"/>
  <c r="C115" i="526"/>
  <c r="B115" i="526"/>
  <c r="F115" i="526" s="1"/>
  <c r="K62" i="4" s="1"/>
  <c r="F114" i="526"/>
  <c r="F113" i="526"/>
  <c r="F112" i="526"/>
  <c r="F111" i="526"/>
  <c r="F110" i="526"/>
  <c r="F109" i="526"/>
  <c r="F108" i="526"/>
  <c r="F107" i="526"/>
  <c r="F106" i="526"/>
  <c r="G94" i="526"/>
  <c r="E94" i="526"/>
  <c r="C94" i="526"/>
  <c r="F68" i="526"/>
  <c r="E68" i="526"/>
  <c r="D68" i="526"/>
  <c r="C68" i="526"/>
  <c r="F67" i="526"/>
  <c r="E67" i="526"/>
  <c r="F66" i="526"/>
  <c r="E66" i="526"/>
  <c r="F65" i="526"/>
  <c r="E65" i="526"/>
  <c r="F64" i="526"/>
  <c r="E64" i="526"/>
  <c r="F63" i="526"/>
  <c r="E63" i="526"/>
  <c r="F62" i="526"/>
  <c r="E62" i="526"/>
  <c r="F61" i="526"/>
  <c r="E61" i="526"/>
  <c r="F60" i="526"/>
  <c r="E60" i="526"/>
  <c r="F55" i="526"/>
  <c r="D62" i="4" s="1"/>
  <c r="E55" i="526"/>
  <c r="D55" i="526"/>
  <c r="C55" i="526"/>
  <c r="F54" i="526"/>
  <c r="E54" i="526"/>
  <c r="F53" i="526"/>
  <c r="E53" i="526"/>
  <c r="F52" i="526"/>
  <c r="E52" i="526"/>
  <c r="F51" i="526"/>
  <c r="E51" i="526"/>
  <c r="F50" i="526"/>
  <c r="E50" i="526"/>
  <c r="F49" i="526"/>
  <c r="E49" i="526"/>
  <c r="F48" i="526"/>
  <c r="E48" i="526"/>
  <c r="E47" i="526"/>
  <c r="E46" i="526"/>
  <c r="E41" i="526"/>
  <c r="E40" i="526"/>
  <c r="E39" i="526"/>
  <c r="E38" i="526"/>
  <c r="E37" i="526"/>
  <c r="E36" i="526"/>
  <c r="E35" i="526"/>
  <c r="C6" i="526"/>
  <c r="B64" i="4"/>
  <c r="O66" i="4"/>
  <c r="N66" i="4"/>
  <c r="M66" i="4"/>
  <c r="I66" i="4"/>
  <c r="G66" i="4"/>
  <c r="E156" i="525"/>
  <c r="E151" i="525"/>
  <c r="D151" i="525"/>
  <c r="C151" i="525"/>
  <c r="B151" i="525"/>
  <c r="G150" i="525"/>
  <c r="F150" i="525"/>
  <c r="G149" i="525"/>
  <c r="F149" i="525"/>
  <c r="G148" i="525"/>
  <c r="F148" i="525"/>
  <c r="G147" i="525"/>
  <c r="F147" i="525"/>
  <c r="F142" i="525"/>
  <c r="E142" i="525"/>
  <c r="D142" i="525"/>
  <c r="C142" i="525"/>
  <c r="E115" i="525"/>
  <c r="D115" i="525"/>
  <c r="C115" i="525"/>
  <c r="B115" i="525"/>
  <c r="F114" i="525"/>
  <c r="F113" i="525"/>
  <c r="F112" i="525"/>
  <c r="F111" i="525"/>
  <c r="F110" i="525"/>
  <c r="F109" i="525"/>
  <c r="F108" i="525"/>
  <c r="F107" i="525"/>
  <c r="F106" i="525"/>
  <c r="G94" i="525"/>
  <c r="E94" i="525"/>
  <c r="C94" i="525"/>
  <c r="F68" i="525"/>
  <c r="E68" i="525"/>
  <c r="D68" i="525"/>
  <c r="C68" i="525"/>
  <c r="F67" i="525"/>
  <c r="E67" i="525"/>
  <c r="F66" i="525"/>
  <c r="E66" i="525"/>
  <c r="F65" i="525"/>
  <c r="E65" i="525"/>
  <c r="F64" i="525"/>
  <c r="E64" i="525"/>
  <c r="F63" i="525"/>
  <c r="E63" i="525"/>
  <c r="F62" i="525"/>
  <c r="E62" i="525"/>
  <c r="F61" i="525"/>
  <c r="E61" i="525"/>
  <c r="F60" i="525"/>
  <c r="E60" i="525"/>
  <c r="F55" i="525"/>
  <c r="D66" i="4" s="1"/>
  <c r="E55" i="525"/>
  <c r="D55" i="525"/>
  <c r="C55" i="525"/>
  <c r="F54" i="525"/>
  <c r="E54" i="525"/>
  <c r="F53" i="525"/>
  <c r="E53" i="525"/>
  <c r="F52" i="525"/>
  <c r="E52" i="525"/>
  <c r="F51" i="525"/>
  <c r="E51" i="525"/>
  <c r="F50" i="525"/>
  <c r="E50" i="525"/>
  <c r="F49" i="525"/>
  <c r="E49" i="525"/>
  <c r="F48" i="525"/>
  <c r="E48" i="525"/>
  <c r="E47" i="525"/>
  <c r="E46" i="525"/>
  <c r="E41" i="525"/>
  <c r="E40" i="525"/>
  <c r="E39" i="525"/>
  <c r="E38" i="525"/>
  <c r="E37" i="525"/>
  <c r="E36" i="525"/>
  <c r="E35" i="525"/>
  <c r="C6" i="525"/>
  <c r="B68" i="4"/>
  <c r="O70" i="4"/>
  <c r="N70" i="4"/>
  <c r="M70" i="4"/>
  <c r="Z2" i="4"/>
  <c r="I70" i="4"/>
  <c r="G70" i="4"/>
  <c r="E156" i="524"/>
  <c r="E151" i="524"/>
  <c r="D151" i="524"/>
  <c r="C151" i="524"/>
  <c r="B151" i="524"/>
  <c r="G150" i="524"/>
  <c r="F150" i="524"/>
  <c r="G149" i="524"/>
  <c r="F149" i="524"/>
  <c r="G148" i="524"/>
  <c r="F148" i="524"/>
  <c r="G147" i="524"/>
  <c r="G151" i="524" s="1"/>
  <c r="F147" i="524"/>
  <c r="F151" i="524" s="1"/>
  <c r="F142" i="524"/>
  <c r="E142" i="524"/>
  <c r="D142" i="524"/>
  <c r="C142" i="524"/>
  <c r="E115" i="524"/>
  <c r="D115" i="524"/>
  <c r="C115" i="524"/>
  <c r="B115" i="524"/>
  <c r="F114" i="524"/>
  <c r="F113" i="524"/>
  <c r="F112" i="524"/>
  <c r="F111" i="524"/>
  <c r="F110" i="524"/>
  <c r="F109" i="524"/>
  <c r="F108" i="524"/>
  <c r="F107" i="524"/>
  <c r="F106" i="524"/>
  <c r="G94" i="524"/>
  <c r="E94" i="524"/>
  <c r="C94" i="524"/>
  <c r="F68" i="524"/>
  <c r="E68" i="524"/>
  <c r="D68" i="524"/>
  <c r="C68" i="524"/>
  <c r="F67" i="524"/>
  <c r="E67" i="524"/>
  <c r="F66" i="524"/>
  <c r="E66" i="524"/>
  <c r="F65" i="524"/>
  <c r="E65" i="524"/>
  <c r="F64" i="524"/>
  <c r="E64" i="524"/>
  <c r="F63" i="524"/>
  <c r="E63" i="524"/>
  <c r="F62" i="524"/>
  <c r="E62" i="524"/>
  <c r="F61" i="524"/>
  <c r="E61" i="524"/>
  <c r="F60" i="524"/>
  <c r="E60" i="524"/>
  <c r="F55" i="524"/>
  <c r="D70" i="4" s="1"/>
  <c r="E55" i="524"/>
  <c r="D55" i="524"/>
  <c r="C55" i="524"/>
  <c r="F54" i="524"/>
  <c r="E54" i="524"/>
  <c r="F53" i="524"/>
  <c r="E53" i="524"/>
  <c r="F52" i="524"/>
  <c r="E52" i="524"/>
  <c r="F51" i="524"/>
  <c r="E51" i="524"/>
  <c r="F50" i="524"/>
  <c r="E50" i="524"/>
  <c r="F49" i="524"/>
  <c r="E49" i="524"/>
  <c r="F48" i="524"/>
  <c r="E48" i="524"/>
  <c r="E47" i="524"/>
  <c r="E46" i="524"/>
  <c r="E41" i="524"/>
  <c r="E40" i="524"/>
  <c r="E39" i="524"/>
  <c r="E38" i="524"/>
  <c r="E37" i="524"/>
  <c r="E36" i="524"/>
  <c r="E35" i="524"/>
  <c r="C6" i="524"/>
  <c r="B72" i="4"/>
  <c r="O74" i="4"/>
  <c r="N74" i="4"/>
  <c r="M74" i="4"/>
  <c r="Z30" i="4"/>
  <c r="I74" i="4"/>
  <c r="G74" i="4"/>
  <c r="E156" i="523"/>
  <c r="E151" i="523"/>
  <c r="D151" i="523"/>
  <c r="C151" i="523"/>
  <c r="B151" i="523"/>
  <c r="G150" i="523"/>
  <c r="F150" i="523"/>
  <c r="G149" i="523"/>
  <c r="F149" i="523"/>
  <c r="G148" i="523"/>
  <c r="F148" i="523"/>
  <c r="G147" i="523"/>
  <c r="F147" i="523"/>
  <c r="F142" i="523"/>
  <c r="E142" i="523"/>
  <c r="D142" i="523"/>
  <c r="C142" i="523"/>
  <c r="E115" i="523"/>
  <c r="D115" i="523"/>
  <c r="C115" i="523"/>
  <c r="F115" i="523" s="1"/>
  <c r="K74" i="4" s="1"/>
  <c r="B115" i="523"/>
  <c r="F114" i="523"/>
  <c r="F113" i="523"/>
  <c r="F112" i="523"/>
  <c r="F111" i="523"/>
  <c r="F110" i="523"/>
  <c r="F109" i="523"/>
  <c r="F108" i="523"/>
  <c r="F107" i="523"/>
  <c r="F106" i="523"/>
  <c r="G94" i="523"/>
  <c r="E94" i="523"/>
  <c r="C94" i="523"/>
  <c r="F68" i="523"/>
  <c r="E68" i="523"/>
  <c r="D68" i="523"/>
  <c r="C68" i="523"/>
  <c r="F67" i="523"/>
  <c r="E67" i="523"/>
  <c r="F66" i="523"/>
  <c r="E66" i="523"/>
  <c r="F65" i="523"/>
  <c r="E65" i="523"/>
  <c r="F64" i="523"/>
  <c r="E64" i="523"/>
  <c r="F63" i="523"/>
  <c r="E63" i="523"/>
  <c r="F62" i="523"/>
  <c r="E62" i="523"/>
  <c r="F61" i="523"/>
  <c r="E61" i="523"/>
  <c r="F60" i="523"/>
  <c r="E60" i="523"/>
  <c r="F55" i="523"/>
  <c r="D74" i="4" s="1"/>
  <c r="E55" i="523"/>
  <c r="D55" i="523"/>
  <c r="C55" i="523"/>
  <c r="F54" i="523"/>
  <c r="E54" i="523"/>
  <c r="F53" i="523"/>
  <c r="E53" i="523"/>
  <c r="F52" i="523"/>
  <c r="E52" i="523"/>
  <c r="F51" i="523"/>
  <c r="E51" i="523"/>
  <c r="F50" i="523"/>
  <c r="E50" i="523"/>
  <c r="F49" i="523"/>
  <c r="E49" i="523"/>
  <c r="F48" i="523"/>
  <c r="E48" i="523"/>
  <c r="E47" i="523"/>
  <c r="E46" i="523"/>
  <c r="E41" i="523"/>
  <c r="E40" i="523"/>
  <c r="E39" i="523"/>
  <c r="E38" i="523"/>
  <c r="E37" i="523"/>
  <c r="E36" i="523"/>
  <c r="E35" i="523"/>
  <c r="C6" i="523"/>
  <c r="Z10" i="4"/>
  <c r="Z46" i="4"/>
  <c r="Z6" i="4"/>
  <c r="Z42" i="4"/>
  <c r="Z50" i="4"/>
  <c r="F131" i="6" l="1"/>
  <c r="G151" i="539"/>
  <c r="G151" i="538"/>
  <c r="F115" i="536"/>
  <c r="K46" i="4" s="1"/>
  <c r="F151" i="536"/>
  <c r="F151" i="535"/>
  <c r="G151" i="535"/>
  <c r="G151" i="534"/>
  <c r="F151" i="534"/>
  <c r="F115" i="533"/>
  <c r="K38" i="4" s="1"/>
  <c r="F151" i="533"/>
  <c r="F115" i="532"/>
  <c r="K34" i="4" s="1"/>
  <c r="G151" i="531"/>
  <c r="F115" i="531"/>
  <c r="K14" i="4" s="1"/>
  <c r="F115" i="530"/>
  <c r="K22" i="4" s="1"/>
  <c r="G151" i="530"/>
  <c r="F115" i="529"/>
  <c r="K54" i="4" s="1"/>
  <c r="F151" i="529"/>
  <c r="G151" i="529"/>
  <c r="F115" i="528"/>
  <c r="K58" i="4" s="1"/>
  <c r="F115" i="527"/>
  <c r="K26" i="4" s="1"/>
  <c r="G151" i="527"/>
  <c r="F151" i="527"/>
  <c r="F151" i="526"/>
  <c r="F115" i="525"/>
  <c r="K66" i="4" s="1"/>
  <c r="F151" i="525"/>
  <c r="G151" i="525"/>
  <c r="F115" i="524"/>
  <c r="K70" i="4" s="1"/>
  <c r="G151" i="523"/>
  <c r="F151" i="523"/>
  <c r="B16" i="4"/>
  <c r="O18" i="4"/>
  <c r="N18" i="4"/>
  <c r="M18" i="4"/>
  <c r="Z14" i="4"/>
  <c r="I18" i="4"/>
  <c r="E156" i="522"/>
  <c r="E151" i="522"/>
  <c r="D151" i="522"/>
  <c r="C151" i="522"/>
  <c r="B151" i="522"/>
  <c r="G150" i="522"/>
  <c r="F150" i="522"/>
  <c r="G149" i="522"/>
  <c r="F149" i="522"/>
  <c r="G148" i="522"/>
  <c r="F148" i="522"/>
  <c r="G147" i="522"/>
  <c r="G151" i="522" s="1"/>
  <c r="F147" i="522"/>
  <c r="F151" i="522" s="1"/>
  <c r="F142" i="522"/>
  <c r="E142" i="522"/>
  <c r="D142" i="522"/>
  <c r="C142" i="522"/>
  <c r="E115" i="522"/>
  <c r="D115" i="522"/>
  <c r="C115" i="522"/>
  <c r="B115" i="522"/>
  <c r="F114" i="522"/>
  <c r="F113" i="522"/>
  <c r="F112" i="522"/>
  <c r="F111" i="522"/>
  <c r="F110" i="522"/>
  <c r="F109" i="522"/>
  <c r="F108" i="522"/>
  <c r="F107" i="522"/>
  <c r="F106" i="522"/>
  <c r="G94" i="522"/>
  <c r="E94" i="522"/>
  <c r="C94" i="522"/>
  <c r="F68" i="522"/>
  <c r="E68" i="522"/>
  <c r="D68" i="522"/>
  <c r="C68" i="522"/>
  <c r="F67" i="522"/>
  <c r="E67" i="522"/>
  <c r="F66" i="522"/>
  <c r="E66" i="522"/>
  <c r="F65" i="522"/>
  <c r="E65" i="522"/>
  <c r="F64" i="522"/>
  <c r="E64" i="522"/>
  <c r="F63" i="522"/>
  <c r="E63" i="522"/>
  <c r="F62" i="522"/>
  <c r="E62" i="522"/>
  <c r="F61" i="522"/>
  <c r="E61" i="522"/>
  <c r="F60" i="522"/>
  <c r="E60" i="522"/>
  <c r="F55" i="522"/>
  <c r="D18" i="4" s="1"/>
  <c r="E55" i="522"/>
  <c r="D55" i="522"/>
  <c r="C55" i="522"/>
  <c r="F54" i="522"/>
  <c r="E54" i="522"/>
  <c r="F53" i="522"/>
  <c r="E53" i="522"/>
  <c r="F52" i="522"/>
  <c r="E52" i="522"/>
  <c r="F51" i="522"/>
  <c r="E51" i="522"/>
  <c r="F50" i="522"/>
  <c r="E50" i="522"/>
  <c r="F49" i="522"/>
  <c r="E49" i="522"/>
  <c r="F48" i="522"/>
  <c r="E48" i="522"/>
  <c r="E47" i="522"/>
  <c r="E46" i="522"/>
  <c r="E41" i="522"/>
  <c r="E40" i="522"/>
  <c r="E39" i="522"/>
  <c r="E38" i="522"/>
  <c r="E37" i="522"/>
  <c r="E36" i="522"/>
  <c r="E35" i="522"/>
  <c r="C6" i="522"/>
  <c r="B76" i="4"/>
  <c r="O78" i="4"/>
  <c r="N78" i="4"/>
  <c r="M78" i="4"/>
  <c r="I78" i="4"/>
  <c r="G78" i="4"/>
  <c r="E156" i="521"/>
  <c r="E151" i="521"/>
  <c r="D151" i="521"/>
  <c r="C151" i="521"/>
  <c r="B151" i="521"/>
  <c r="G150" i="521"/>
  <c r="F150" i="521"/>
  <c r="G149" i="521"/>
  <c r="F149" i="521"/>
  <c r="G148" i="521"/>
  <c r="F148" i="521"/>
  <c r="G147" i="521"/>
  <c r="G151" i="521" s="1"/>
  <c r="F147" i="521"/>
  <c r="F151" i="521" s="1"/>
  <c r="F142" i="521"/>
  <c r="E142" i="521"/>
  <c r="D142" i="521"/>
  <c r="C142" i="521"/>
  <c r="E115" i="521"/>
  <c r="D115" i="521"/>
  <c r="C115" i="521"/>
  <c r="B115" i="521"/>
  <c r="F114" i="521"/>
  <c r="F113" i="521"/>
  <c r="F112" i="521"/>
  <c r="F111" i="521"/>
  <c r="F110" i="521"/>
  <c r="F109" i="521"/>
  <c r="F108" i="521"/>
  <c r="F107" i="521"/>
  <c r="F106" i="521"/>
  <c r="G94" i="521"/>
  <c r="E94" i="521"/>
  <c r="C94" i="521"/>
  <c r="F68" i="521"/>
  <c r="E68" i="521"/>
  <c r="D68" i="521"/>
  <c r="C68" i="521"/>
  <c r="F67" i="521"/>
  <c r="E67" i="521"/>
  <c r="F66" i="521"/>
  <c r="E66" i="521"/>
  <c r="F65" i="521"/>
  <c r="E65" i="521"/>
  <c r="F64" i="521"/>
  <c r="E64" i="521"/>
  <c r="F63" i="521"/>
  <c r="E63" i="521"/>
  <c r="F62" i="521"/>
  <c r="E62" i="521"/>
  <c r="F61" i="521"/>
  <c r="E61" i="521"/>
  <c r="F60" i="521"/>
  <c r="E60" i="521"/>
  <c r="F55" i="521"/>
  <c r="D78" i="4" s="1"/>
  <c r="E55" i="521"/>
  <c r="D55" i="521"/>
  <c r="C55" i="521"/>
  <c r="F54" i="521"/>
  <c r="E54" i="521"/>
  <c r="F53" i="521"/>
  <c r="E53" i="521"/>
  <c r="F52" i="521"/>
  <c r="E52" i="521"/>
  <c r="F51" i="521"/>
  <c r="E51" i="521"/>
  <c r="F50" i="521"/>
  <c r="E50" i="521"/>
  <c r="F49" i="521"/>
  <c r="E49" i="521"/>
  <c r="F48" i="521"/>
  <c r="E48" i="521"/>
  <c r="E47" i="521"/>
  <c r="E46" i="521"/>
  <c r="E41" i="521"/>
  <c r="E40" i="521"/>
  <c r="E39" i="521"/>
  <c r="E38" i="521"/>
  <c r="E37" i="521"/>
  <c r="E36" i="521"/>
  <c r="E35" i="521"/>
  <c r="C6" i="521"/>
  <c r="Z18" i="4"/>
  <c r="B80" i="4"/>
  <c r="O82" i="4"/>
  <c r="N82" i="4"/>
  <c r="M82" i="4"/>
  <c r="I82" i="4"/>
  <c r="G82" i="4"/>
  <c r="E156" i="518"/>
  <c r="E151" i="518"/>
  <c r="D151" i="518"/>
  <c r="C151" i="518"/>
  <c r="B151" i="518"/>
  <c r="G150" i="518"/>
  <c r="F150" i="518"/>
  <c r="G149" i="518"/>
  <c r="F149" i="518"/>
  <c r="G148" i="518"/>
  <c r="F148" i="518"/>
  <c r="G147" i="518"/>
  <c r="G151" i="518" s="1"/>
  <c r="F147" i="518"/>
  <c r="F142" i="518"/>
  <c r="E142" i="518"/>
  <c r="D142" i="518"/>
  <c r="C142" i="518"/>
  <c r="E115" i="518"/>
  <c r="D115" i="518"/>
  <c r="C115" i="518"/>
  <c r="B115" i="518"/>
  <c r="F114" i="518"/>
  <c r="F113" i="518"/>
  <c r="F112" i="518"/>
  <c r="F111" i="518"/>
  <c r="F110" i="518"/>
  <c r="F109" i="518"/>
  <c r="F108" i="518"/>
  <c r="F107" i="518"/>
  <c r="F106" i="518"/>
  <c r="G94" i="518"/>
  <c r="E94" i="518"/>
  <c r="C94" i="518"/>
  <c r="F68" i="518"/>
  <c r="E68" i="518"/>
  <c r="D68" i="518"/>
  <c r="C68" i="518"/>
  <c r="F67" i="518"/>
  <c r="E67" i="518"/>
  <c r="F66" i="518"/>
  <c r="E66" i="518"/>
  <c r="F65" i="518"/>
  <c r="E65" i="518"/>
  <c r="F64" i="518"/>
  <c r="E64" i="518"/>
  <c r="F63" i="518"/>
  <c r="E63" i="518"/>
  <c r="F62" i="518"/>
  <c r="E62" i="518"/>
  <c r="F61" i="518"/>
  <c r="E61" i="518"/>
  <c r="F60" i="518"/>
  <c r="E60" i="518"/>
  <c r="F55" i="518"/>
  <c r="D82" i="4" s="1"/>
  <c r="E55" i="518"/>
  <c r="D55" i="518"/>
  <c r="C55" i="518"/>
  <c r="F54" i="518"/>
  <c r="E54" i="518"/>
  <c r="F53" i="518"/>
  <c r="E53" i="518"/>
  <c r="F52" i="518"/>
  <c r="E52" i="518"/>
  <c r="F51" i="518"/>
  <c r="E51" i="518"/>
  <c r="F50" i="518"/>
  <c r="E50" i="518"/>
  <c r="F49" i="518"/>
  <c r="E49" i="518"/>
  <c r="F48" i="518"/>
  <c r="E48" i="518"/>
  <c r="E47" i="518"/>
  <c r="E46" i="518"/>
  <c r="E41" i="518"/>
  <c r="E40" i="518"/>
  <c r="E39" i="518"/>
  <c r="E38" i="518"/>
  <c r="E37" i="518"/>
  <c r="E36" i="518"/>
  <c r="E35" i="518"/>
  <c r="C6" i="518"/>
  <c r="B88" i="4"/>
  <c r="O90" i="4"/>
  <c r="N90" i="4"/>
  <c r="M90" i="4"/>
  <c r="Z26" i="4"/>
  <c r="I90" i="4"/>
  <c r="G90" i="4"/>
  <c r="E156" i="517"/>
  <c r="E151" i="517"/>
  <c r="D151" i="517"/>
  <c r="C151" i="517"/>
  <c r="B151" i="517"/>
  <c r="G150" i="517"/>
  <c r="F150" i="517"/>
  <c r="G149" i="517"/>
  <c r="F149" i="517"/>
  <c r="G148" i="517"/>
  <c r="F148" i="517"/>
  <c r="G147" i="517"/>
  <c r="F147" i="517"/>
  <c r="F142" i="517"/>
  <c r="E142" i="517"/>
  <c r="D142" i="517"/>
  <c r="C142" i="517"/>
  <c r="E115" i="517"/>
  <c r="D115" i="517"/>
  <c r="C115" i="517"/>
  <c r="B115" i="517"/>
  <c r="F114" i="517"/>
  <c r="F113" i="517"/>
  <c r="F112" i="517"/>
  <c r="F111" i="517"/>
  <c r="F110" i="517"/>
  <c r="F109" i="517"/>
  <c r="F108" i="517"/>
  <c r="F107" i="517"/>
  <c r="F106" i="517"/>
  <c r="G94" i="517"/>
  <c r="E94" i="517"/>
  <c r="C94" i="517"/>
  <c r="F68" i="517"/>
  <c r="E68" i="517"/>
  <c r="D68" i="517"/>
  <c r="C68" i="517"/>
  <c r="F67" i="517"/>
  <c r="E67" i="517"/>
  <c r="F66" i="517"/>
  <c r="E66" i="517"/>
  <c r="F65" i="517"/>
  <c r="E65" i="517"/>
  <c r="F64" i="517"/>
  <c r="E64" i="517"/>
  <c r="F63" i="517"/>
  <c r="E63" i="517"/>
  <c r="F62" i="517"/>
  <c r="E62" i="517"/>
  <c r="F61" i="517"/>
  <c r="E61" i="517"/>
  <c r="F60" i="517"/>
  <c r="E60" i="517"/>
  <c r="F55" i="517"/>
  <c r="D90" i="4" s="1"/>
  <c r="E55" i="517"/>
  <c r="D55" i="517"/>
  <c r="C55" i="517"/>
  <c r="F54" i="517"/>
  <c r="E54" i="517"/>
  <c r="F53" i="517"/>
  <c r="E53" i="517"/>
  <c r="F52" i="517"/>
  <c r="E52" i="517"/>
  <c r="F51" i="517"/>
  <c r="E51" i="517"/>
  <c r="F50" i="517"/>
  <c r="E50" i="517"/>
  <c r="F49" i="517"/>
  <c r="E49" i="517"/>
  <c r="F48" i="517"/>
  <c r="E48" i="517"/>
  <c r="E47" i="517"/>
  <c r="E46" i="517"/>
  <c r="E41" i="517"/>
  <c r="E40" i="517"/>
  <c r="E39" i="517"/>
  <c r="E38" i="517"/>
  <c r="E37" i="517"/>
  <c r="E36" i="517"/>
  <c r="E35" i="517"/>
  <c r="C6" i="517"/>
  <c r="B84" i="4"/>
  <c r="O86" i="4"/>
  <c r="N86" i="4"/>
  <c r="M86" i="4"/>
  <c r="I86" i="4"/>
  <c r="G86" i="4"/>
  <c r="E156" i="516"/>
  <c r="E151" i="516"/>
  <c r="D151" i="516"/>
  <c r="C151" i="516"/>
  <c r="B151" i="516"/>
  <c r="G150" i="516"/>
  <c r="F150" i="516"/>
  <c r="G149" i="516"/>
  <c r="F149" i="516"/>
  <c r="G148" i="516"/>
  <c r="F148" i="516"/>
  <c r="G147" i="516"/>
  <c r="F147" i="516"/>
  <c r="F142" i="516"/>
  <c r="E142" i="516"/>
  <c r="D142" i="516"/>
  <c r="C142" i="516"/>
  <c r="E115" i="516"/>
  <c r="D115" i="516"/>
  <c r="C115" i="516"/>
  <c r="B115" i="516"/>
  <c r="F114" i="516"/>
  <c r="F113" i="516"/>
  <c r="F112" i="516"/>
  <c r="F111" i="516"/>
  <c r="F110" i="516"/>
  <c r="F109" i="516"/>
  <c r="F108" i="516"/>
  <c r="F107" i="516"/>
  <c r="F106" i="516"/>
  <c r="G94" i="516"/>
  <c r="E94" i="516"/>
  <c r="C94" i="516"/>
  <c r="F68" i="516"/>
  <c r="E68" i="516"/>
  <c r="D68" i="516"/>
  <c r="C68" i="516"/>
  <c r="F67" i="516"/>
  <c r="E67" i="516"/>
  <c r="F66" i="516"/>
  <c r="E66" i="516"/>
  <c r="F65" i="516"/>
  <c r="E65" i="516"/>
  <c r="F64" i="516"/>
  <c r="E64" i="516"/>
  <c r="F63" i="516"/>
  <c r="E63" i="516"/>
  <c r="F62" i="516"/>
  <c r="E62" i="516"/>
  <c r="F61" i="516"/>
  <c r="E61" i="516"/>
  <c r="F60" i="516"/>
  <c r="E60" i="516"/>
  <c r="F55" i="516"/>
  <c r="D86" i="4" s="1"/>
  <c r="E55" i="516"/>
  <c r="D55" i="516"/>
  <c r="C55" i="516"/>
  <c r="F54" i="516"/>
  <c r="E54" i="516"/>
  <c r="F53" i="516"/>
  <c r="E53" i="516"/>
  <c r="F52" i="516"/>
  <c r="E52" i="516"/>
  <c r="F51" i="516"/>
  <c r="E51" i="516"/>
  <c r="F50" i="516"/>
  <c r="E50" i="516"/>
  <c r="F49" i="516"/>
  <c r="E49" i="516"/>
  <c r="F48" i="516"/>
  <c r="E48" i="516"/>
  <c r="E47" i="516"/>
  <c r="E46" i="516"/>
  <c r="E41" i="516"/>
  <c r="E40" i="516"/>
  <c r="E39" i="516"/>
  <c r="E38" i="516"/>
  <c r="E37" i="516"/>
  <c r="E36" i="516"/>
  <c r="E35" i="516"/>
  <c r="C6" i="516"/>
  <c r="E156" i="512"/>
  <c r="E151" i="512"/>
  <c r="D151" i="512"/>
  <c r="C151" i="512"/>
  <c r="B151" i="512"/>
  <c r="G150" i="512"/>
  <c r="F150" i="512"/>
  <c r="G149" i="512"/>
  <c r="F149" i="512"/>
  <c r="G148" i="512"/>
  <c r="F148" i="512"/>
  <c r="G147" i="512"/>
  <c r="G151" i="512" s="1"/>
  <c r="F147" i="512"/>
  <c r="F151" i="512" s="1"/>
  <c r="F142" i="512"/>
  <c r="E142" i="512"/>
  <c r="D142" i="512"/>
  <c r="C142" i="512"/>
  <c r="E115" i="512"/>
  <c r="D115" i="512"/>
  <c r="C115" i="512"/>
  <c r="B115" i="512"/>
  <c r="F115" i="512" s="1"/>
  <c r="F114" i="512"/>
  <c r="F113" i="512"/>
  <c r="F112" i="512"/>
  <c r="F111" i="512"/>
  <c r="F110" i="512"/>
  <c r="F109" i="512"/>
  <c r="F108" i="512"/>
  <c r="F107" i="512"/>
  <c r="F106" i="512"/>
  <c r="G94" i="512"/>
  <c r="E94" i="512"/>
  <c r="C94" i="512"/>
  <c r="F68" i="512"/>
  <c r="E68" i="512"/>
  <c r="D68" i="512"/>
  <c r="C68" i="512"/>
  <c r="F67" i="512"/>
  <c r="E67" i="512"/>
  <c r="F66" i="512"/>
  <c r="E66" i="512"/>
  <c r="F65" i="512"/>
  <c r="E65" i="512"/>
  <c r="F64" i="512"/>
  <c r="E64" i="512"/>
  <c r="F63" i="512"/>
  <c r="E63" i="512"/>
  <c r="F62" i="512"/>
  <c r="E62" i="512"/>
  <c r="F61" i="512"/>
  <c r="E61" i="512"/>
  <c r="F60" i="512"/>
  <c r="E60" i="512"/>
  <c r="F55" i="512"/>
  <c r="E55" i="512"/>
  <c r="D55" i="512"/>
  <c r="C55" i="512"/>
  <c r="F54" i="512"/>
  <c r="E54" i="512"/>
  <c r="F53" i="512"/>
  <c r="E53" i="512"/>
  <c r="F52" i="512"/>
  <c r="E52" i="512"/>
  <c r="F51" i="512"/>
  <c r="E51" i="512"/>
  <c r="F50" i="512"/>
  <c r="E50" i="512"/>
  <c r="F49" i="512"/>
  <c r="E49" i="512"/>
  <c r="F48" i="512"/>
  <c r="E48" i="512"/>
  <c r="E47" i="512"/>
  <c r="E46" i="512"/>
  <c r="E41" i="512"/>
  <c r="E40" i="512"/>
  <c r="E39" i="512"/>
  <c r="E38" i="512"/>
  <c r="E37" i="512"/>
  <c r="E36" i="512"/>
  <c r="E35" i="512"/>
  <c r="C6" i="512"/>
  <c r="Z32" i="4"/>
  <c r="Z28" i="4"/>
  <c r="Z24" i="4"/>
  <c r="Z16" i="4"/>
  <c r="F115" i="522" l="1"/>
  <c r="K18" i="4" s="1"/>
  <c r="F115" i="521"/>
  <c r="K78" i="4" s="1"/>
  <c r="F115" i="518"/>
  <c r="K82" i="4" s="1"/>
  <c r="F151" i="518"/>
  <c r="F115" i="517"/>
  <c r="K90" i="4" s="1"/>
  <c r="G151" i="517"/>
  <c r="F151" i="517"/>
  <c r="F115" i="516"/>
  <c r="K86" i="4" s="1"/>
  <c r="F151" i="516"/>
  <c r="G151" i="516"/>
  <c r="E140" i="6" l="1"/>
  <c r="E135" i="6"/>
  <c r="C135" i="6"/>
  <c r="B135" i="6"/>
  <c r="F126" i="6"/>
  <c r="F98" i="6"/>
  <c r="F96" i="6"/>
  <c r="E35" i="6"/>
  <c r="F135" i="6"/>
  <c r="O82" i="5"/>
  <c r="N82" i="5"/>
  <c r="M82" i="5"/>
  <c r="K82" i="5"/>
  <c r="I82" i="5"/>
  <c r="G82" i="5"/>
  <c r="F82" i="5"/>
  <c r="E82" i="5"/>
  <c r="D82" i="5"/>
  <c r="C82" i="5"/>
  <c r="B80" i="5"/>
  <c r="D18" i="6"/>
  <c r="E1" i="9"/>
  <c r="E2" i="9"/>
  <c r="D2" i="9"/>
  <c r="D17" i="9" s="1"/>
  <c r="D11" i="9"/>
  <c r="D19" i="9" s="1"/>
  <c r="E47" i="2"/>
  <c r="F150" i="2"/>
  <c r="F149" i="2"/>
  <c r="F148" i="2"/>
  <c r="F147" i="2"/>
  <c r="F151" i="2"/>
  <c r="D135" i="6"/>
  <c r="E156" i="2"/>
  <c r="E151" i="2"/>
  <c r="D151" i="2"/>
  <c r="C151" i="2"/>
  <c r="B151" i="2"/>
  <c r="G150" i="2"/>
  <c r="G149" i="2"/>
  <c r="G148" i="2"/>
  <c r="G147" i="2"/>
  <c r="D142" i="2"/>
  <c r="C142" i="2"/>
  <c r="E115" i="2"/>
  <c r="D115" i="2"/>
  <c r="C115" i="2"/>
  <c r="B115" i="2"/>
  <c r="F114" i="2"/>
  <c r="F113" i="2"/>
  <c r="F112" i="2"/>
  <c r="F111" i="2"/>
  <c r="F110" i="2"/>
  <c r="F109" i="2"/>
  <c r="F108" i="2"/>
  <c r="F107" i="2"/>
  <c r="F106" i="2"/>
  <c r="G94" i="2"/>
  <c r="E94" i="2"/>
  <c r="C94" i="2"/>
  <c r="F68" i="2"/>
  <c r="E68" i="2"/>
  <c r="D68" i="2"/>
  <c r="C68" i="2"/>
  <c r="F67" i="2"/>
  <c r="E67" i="2"/>
  <c r="F66" i="2"/>
  <c r="E66" i="2"/>
  <c r="F65" i="2"/>
  <c r="E65" i="2"/>
  <c r="F64" i="2"/>
  <c r="E64" i="2"/>
  <c r="F63" i="2"/>
  <c r="E63" i="2"/>
  <c r="F62" i="2"/>
  <c r="E62" i="2"/>
  <c r="F61" i="2"/>
  <c r="E61" i="2"/>
  <c r="F60" i="2"/>
  <c r="E60" i="2"/>
  <c r="F55" i="2"/>
  <c r="E55" i="2"/>
  <c r="D55" i="2"/>
  <c r="C55" i="2"/>
  <c r="F54" i="2"/>
  <c r="E54" i="2"/>
  <c r="F53" i="2"/>
  <c r="E53" i="2"/>
  <c r="F52" i="2"/>
  <c r="E52" i="2"/>
  <c r="F51" i="2"/>
  <c r="E51" i="2"/>
  <c r="F50" i="2"/>
  <c r="E50" i="2"/>
  <c r="F49" i="2"/>
  <c r="E49" i="2"/>
  <c r="F48" i="2"/>
  <c r="E48" i="2"/>
  <c r="E46" i="2"/>
  <c r="E41" i="2"/>
  <c r="E40" i="2"/>
  <c r="E39" i="2"/>
  <c r="E38" i="2"/>
  <c r="E37" i="2"/>
  <c r="E36" i="2"/>
  <c r="E35" i="2"/>
  <c r="C6" i="2"/>
  <c r="G151" i="2"/>
  <c r="F115" i="2"/>
  <c r="E142" i="2"/>
  <c r="F142" i="2"/>
  <c r="C7" i="6"/>
  <c r="A1" i="4" l="1"/>
  <c r="E51" i="6"/>
  <c r="G131" i="6"/>
  <c r="G135" i="6" s="1"/>
  <c r="D52" i="6"/>
  <c r="E33" i="6"/>
  <c r="E50" i="6"/>
  <c r="F44" i="6"/>
  <c r="E126" i="6"/>
  <c r="E44" i="6"/>
  <c r="E48" i="6"/>
  <c r="C52" i="6"/>
  <c r="E20" i="6"/>
  <c r="E24" i="6"/>
  <c r="F36" i="6"/>
  <c r="F45" i="6"/>
  <c r="F91" i="6"/>
  <c r="F93" i="6"/>
  <c r="F95" i="6"/>
  <c r="F38" i="6"/>
  <c r="E46" i="6"/>
  <c r="E32" i="6"/>
  <c r="E36" i="6"/>
  <c r="E37" i="6"/>
  <c r="E23" i="6"/>
  <c r="F48" i="6"/>
  <c r="C126" i="6"/>
  <c r="F32" i="6"/>
  <c r="F49" i="6"/>
  <c r="D99" i="6"/>
  <c r="F97" i="6"/>
  <c r="G133" i="6"/>
  <c r="E49" i="6"/>
  <c r="F37" i="6"/>
  <c r="F39" i="6"/>
  <c r="F50" i="6"/>
  <c r="E31" i="6"/>
  <c r="E39" i="6"/>
  <c r="E45" i="6"/>
  <c r="E21" i="6"/>
  <c r="E25" i="6"/>
  <c r="F52" i="6"/>
  <c r="B99" i="6"/>
  <c r="F35" i="6"/>
  <c r="C99" i="6"/>
  <c r="G134" i="6"/>
  <c r="G132" i="6"/>
  <c r="C78" i="6"/>
  <c r="E52" i="6"/>
  <c r="D39" i="6"/>
  <c r="F46" i="6"/>
  <c r="F33" i="6"/>
  <c r="E22" i="6"/>
  <c r="E26" i="6"/>
  <c r="F34" i="6"/>
  <c r="E38" i="6"/>
  <c r="F47" i="6"/>
  <c r="F51" i="6"/>
  <c r="E78" i="6"/>
  <c r="G78" i="6"/>
  <c r="F90" i="6"/>
  <c r="F92" i="6"/>
  <c r="F94" i="6"/>
  <c r="C39" i="6"/>
  <c r="E34" i="6"/>
  <c r="E47" i="6"/>
  <c r="D126" i="6"/>
  <c r="E99" i="6"/>
  <c r="I12" i="9"/>
  <c r="F99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Green/Yellow/Red
</t>
        </r>
      </text>
    </comment>
    <comment ref="A17" authorId="0" shapeId="0" xr:uid="{A6164521-7805-4E51-9190-6EF8AE205818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0E5C5687-6856-4ABF-A090-02D914CA6102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9796F3FC-4DF4-4699-A71E-8C35F047628B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E8D441D9-7E28-4557-B009-DB5AB42E384E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ECCEC06D-4776-4B8D-BBF5-766FDAE9FE66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30E06951-4FD5-4D54-BC4A-565B491D83B5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511DCE41-FF01-4A24-AA5E-A0AD82F04BC2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FC436274-DA09-4D1B-8BD6-C8E107A2629E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0C254C6D-B0E7-4A41-9376-9DC650A612A7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D5F77DC3-FFF6-44BF-8039-C39E6C092D56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EAE566BF-15CC-4A31-BF67-98E059244996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7E3513EA-6484-49F6-834C-95AE13F9BF19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A9504E61-ECA6-4B44-B447-4DA8C89BEC78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37337744-F2AD-46D5-9FB5-A520EFE36612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1C5B08D3-7B42-40A2-8C6E-05BBE1DCF36E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768818ED-1BF5-4630-9DD4-92025012229D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73B3B9BF-8313-47C4-9545-E3146C85B3B2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4C3396B2-09CF-4F13-80FE-0270A10EB9E6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70B45A80-F696-48DD-8E32-B7B4C167059A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1560FD72-2DD0-4EF1-BAB7-EEFEC829248B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1208CE0A-688B-4EA9-BCF7-433368538360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9E267414-B3C3-4D82-A2BE-58B5A77D3051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D9F9A548-4E82-4D39-BE1C-933D4A396DDA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0180F98C-9D3D-4E41-BC3E-2DB7D33B54FE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Hanif, Imran</author>
  </authors>
  <commentList>
    <comment ref="A32" authorId="0" shapeId="0" xr:uid="{622699C9-5A4B-4151-BD71-B9B7A32BCD49}">
      <text>
        <r>
          <rPr>
            <b/>
            <sz val="9"/>
            <color indexed="81"/>
            <rFont val="Tahoma"/>
            <family val="2"/>
          </rPr>
          <t>Hanif, Imran:</t>
        </r>
        <r>
          <rPr>
            <sz val="9"/>
            <color indexed="81"/>
            <rFont val="Tahoma"/>
            <family val="2"/>
          </rPr>
          <t xml:space="preserve">
Daily Execution</t>
        </r>
      </text>
    </comment>
  </commentList>
</comments>
</file>

<file path=xl/sharedStrings.xml><?xml version="1.0" encoding="utf-8"?>
<sst xmlns="http://schemas.openxmlformats.org/spreadsheetml/2006/main" count="4566" uniqueCount="282">
  <si>
    <t>[TQI CBPT Releases DSR as of Sept 23.xlsm]CBPTINTK-3796 CLD &amp; Repricing L'!$A$104</t>
  </si>
  <si>
    <t>CBPTINTK-2800 IDP CA Foundation MVP3</t>
  </si>
  <si>
    <t>Y</t>
  </si>
  <si>
    <t>Trend</t>
  </si>
  <si>
    <t>Imp. Date</t>
  </si>
  <si>
    <t>SIT/UAT % Complete</t>
  </si>
  <si>
    <t>SIT/UAT Planned Dates</t>
  </si>
  <si>
    <t>SIT/UAT Actual Dates</t>
  </si>
  <si>
    <t>SIT/UAT Planned Test Cases</t>
  </si>
  <si>
    <t>SIT/UAT Complete Test Cases</t>
  </si>
  <si>
    <t>Total Open Defects</t>
  </si>
  <si>
    <t>Sev 1</t>
  </si>
  <si>
    <t>Sev 2</t>
  </si>
  <si>
    <t>Sev 3</t>
  </si>
  <si>
    <t>06/Oct/25 - 15/Oct/25</t>
  </si>
  <si>
    <t>06/Oct/25 - in progress</t>
  </si>
  <si>
    <t>CBPTINTK-3965 - KC Optimization AI Phase Controllership</t>
  </si>
  <si>
    <t>[TQI CBPT Releases DSR as of Oct 08.xlsm]CBPTINTK-2800 IDP CA Foundation'!$A$104</t>
  </si>
  <si>
    <t>G</t>
  </si>
  <si>
    <t>SIT % Complete</t>
  </si>
  <si>
    <t>SIT Planned Dates</t>
  </si>
  <si>
    <t>SIT Actual Dates</t>
  </si>
  <si>
    <t>SIT Planned Test Cases</t>
  </si>
  <si>
    <t>SIT Complete Test Cases</t>
  </si>
  <si>
    <t>PBBT-23406 Upgrade DDGS Smart Comm Appliance</t>
  </si>
  <si>
    <t>[TQI CBPT Releases DSR as of Oct 08.xlsm]PBBT-22425 Excalibur LFA_PBBT-2'!$A$104</t>
  </si>
  <si>
    <t>R</t>
  </si>
  <si>
    <t>UAT % Complete</t>
  </si>
  <si>
    <t>UAT Planned Dates</t>
  </si>
  <si>
    <t>UAT Actual Dates</t>
  </si>
  <si>
    <t>UAT Planned Test Cases</t>
  </si>
  <si>
    <t>UAT Complete Test Cases</t>
  </si>
  <si>
    <t>[TQI CBPT Releases DSR as of Sept 3.xlsm]CBPTINTK-3517 Property Insuranc'!$A$104</t>
  </si>
  <si>
    <t>22/Sep/25 - 10/Oct/25</t>
  </si>
  <si>
    <t>22/Sep/25 - in progress</t>
  </si>
  <si>
    <t>CBPTINTK-3517 Property Insurance Cancellation</t>
  </si>
  <si>
    <t>[TQI CBPT Releases DSR as of Sept 3.xlsm]CBBT-16393 Misc DM fixes'!$A$104</t>
  </si>
  <si>
    <t>22/Sep/25 - 24/Oct/25</t>
  </si>
  <si>
    <t>CBPTINTK-2616 Renewal Due Diligence MVP2</t>
  </si>
  <si>
    <t>01/Sep/25 - 17/Oct/25</t>
  </si>
  <si>
    <t>01/Sep/25 - in progress</t>
  </si>
  <si>
    <t>PBBT-23572 RESL POD Shift Left</t>
  </si>
  <si>
    <t>[TQI CBPT Releases DSR as of Sept 3.xlsm]ATM PH Release 37.5'!$A$104</t>
  </si>
  <si>
    <t>08/Sep/25 - 07/Oct/25</t>
  </si>
  <si>
    <t>PBBT-22623 Eliminate IMDS Dependency for DDGS Letters</t>
  </si>
  <si>
    <t>[TQI CBPT Releases DSR as of Sept 23.xlsm]CBPTINTK-4356 CB Enhancements A'!$A$104</t>
  </si>
  <si>
    <t>CBPTINTK-4105 Client at Risk CR03</t>
  </si>
  <si>
    <t>22/Sep/25 - 03/Oct/25</t>
  </si>
  <si>
    <t>CBPTINTK-4313 Reverse Franchising</t>
  </si>
  <si>
    <t>22/Sep/25 - 17/Oct/25</t>
  </si>
  <si>
    <t>PBPT-16393 Credit Maintenance Platform &amp; PBPT-23978 Include Simplii Accounts in DM Global Unsecured Debt Calculation</t>
  </si>
  <si>
    <t>[TQI CBPT Releases DSR as of Oct 08.xlsm]CBPTINTK-3965 - KC Optimization'!$A$104</t>
  </si>
  <si>
    <t>06/Oct/25 - 22/Oct/25</t>
  </si>
  <si>
    <t>PBBT-23552 Excalibur to RCDW Month End Interest Calculation Update</t>
  </si>
  <si>
    <t>[TQI CBPT Releases DSR as of Oct 08.xlsm]PBPT16393 Credit Maintenance Pl'!$A$104</t>
  </si>
  <si>
    <t>29/Sep/25 - 17/Oct/25</t>
  </si>
  <si>
    <t>29/Sep/25 - in progress</t>
  </si>
  <si>
    <t>PBBT-22425 Excalibur LFA_PBBT-22379 CLASS LFA_CR68 Hopper 2</t>
  </si>
  <si>
    <t>[TQI CBPT Releases DSR as of Oct 08.xlsm]PBBT-23552 Excalibur to RCDW Mo'!$A$104</t>
  </si>
  <si>
    <t>29/Sep/25 - 10/Oct/25</t>
  </si>
  <si>
    <t>Securitization November 2025 Release</t>
  </si>
  <si>
    <t>02/Oct/25 - 24/Oct/25</t>
  </si>
  <si>
    <t>02/Oct/25 - in progress</t>
  </si>
  <si>
    <t>CBPTINTK-17774 Annual Mortgage Statement 2025</t>
  </si>
  <si>
    <t>15/Sep/25 - 10/Oct/25</t>
  </si>
  <si>
    <t>15/Sep/25 - in progress</t>
  </si>
  <si>
    <t>PBBT-13832 DM Relationship 4,5,6,7 to be Excluded from Auto-Approval</t>
  </si>
  <si>
    <t>06/Oct/25 - 17/Oct/25</t>
  </si>
  <si>
    <t>CBPTINTK-23365 LCMS Funding Conditions Scenairo 4</t>
  </si>
  <si>
    <t>06/Oct/25 - 24/Oct/25</t>
  </si>
  <si>
    <t>CBPTINTK-3796 CLD &amp; Repricing Letters</t>
  </si>
  <si>
    <t>06/Oct/25 - 31/Oct/25</t>
  </si>
  <si>
    <t>CBPTINTK-4356 CB Enhancements Add Telco Trades and IDX Score</t>
  </si>
  <si>
    <t>CBPTINTK-3069 Project Guardian</t>
  </si>
  <si>
    <t>29/Sep/25 - 31/Oct/25</t>
  </si>
  <si>
    <t>CBPTINTK - 3291 CLP MVP 1 Renewals</t>
  </si>
  <si>
    <t>29/Sep/25 - 24/Oct/25</t>
  </si>
  <si>
    <t>POS Release 43</t>
  </si>
  <si>
    <t>25/Aug/25 - 10/Oct/25</t>
  </si>
  <si>
    <t>25/Aug/25 - in progress</t>
  </si>
  <si>
    <t>ATM PH Release 37.5</t>
  </si>
  <si>
    <t>C</t>
  </si>
  <si>
    <t>18/Aug/25 - 19/Sep/25</t>
  </si>
  <si>
    <t>PBPT Project Daily Status Report</t>
  </si>
  <si>
    <t xml:space="preserve">PROJECT NAME:  </t>
  </si>
  <si>
    <t>Cycle / Sprint:</t>
  </si>
  <si>
    <r>
      <rPr>
        <b/>
        <sz val="11"/>
        <rFont val="Trebuchet MS"/>
        <family val="2"/>
      </rPr>
      <t>OVERALL STATUS:</t>
    </r>
    <r>
      <rPr>
        <sz val="11"/>
        <rFont val="Trebuchet MS"/>
        <family val="2"/>
      </rPr>
      <t xml:space="preserve"> </t>
    </r>
  </si>
  <si>
    <t>Green</t>
  </si>
  <si>
    <t>Date</t>
  </si>
  <si>
    <t>App Stream</t>
  </si>
  <si>
    <t>List of Projects</t>
  </si>
  <si>
    <t xml:space="preserve"> </t>
  </si>
  <si>
    <t>TEST COVERAGE</t>
  </si>
  <si>
    <t>Daily Target    =</t>
  </si>
  <si>
    <t>Daily Throughput</t>
  </si>
  <si>
    <t xml:space="preserve"># Manual 
TCs </t>
  </si>
  <si>
    <t># Automated TCs*</t>
  </si>
  <si>
    <t>% Total TCs</t>
  </si>
  <si>
    <t>Total Executed</t>
  </si>
  <si>
    <t>Passed</t>
  </si>
  <si>
    <t>Failed</t>
  </si>
  <si>
    <t>Blocked</t>
  </si>
  <si>
    <t>Not Completed</t>
  </si>
  <si>
    <t>No Run</t>
  </si>
  <si>
    <t>N/A (Descoped)</t>
  </si>
  <si>
    <t>*Automation metrics to be included where applicable</t>
  </si>
  <si>
    <t>Cumulative Totals by Phase</t>
  </si>
  <si>
    <t># Manual 
TCs</t>
  </si>
  <si>
    <t>% Automation Usage</t>
  </si>
  <si>
    <t>Total Planned</t>
  </si>
  <si>
    <t xml:space="preserve">Completed   </t>
  </si>
  <si>
    <t>Cumulative Totals for Release</t>
  </si>
  <si>
    <t>ENVIRONMENT DOWNTIME</t>
  </si>
  <si>
    <t>Impacted Application</t>
  </si>
  <si>
    <t>Duration of time Lost (Hours)</t>
  </si>
  <si>
    <t>Effort time lost (Hours)</t>
  </si>
  <si>
    <t>Cycle Effort Time Lost</t>
  </si>
  <si>
    <t>Aurora</t>
  </si>
  <si>
    <t>CLASS</t>
  </si>
  <si>
    <t>COINS/COLT</t>
  </si>
  <si>
    <t>CAAP</t>
  </si>
  <si>
    <t>DDGS</t>
  </si>
  <si>
    <t>Decision Manager</t>
  </si>
  <si>
    <t>DocGen</t>
  </si>
  <si>
    <t>Goldmine</t>
  </si>
  <si>
    <t>Excalibur</t>
  </si>
  <si>
    <t>Exper Lender (D&amp;H)</t>
  </si>
  <si>
    <t>IMWF</t>
  </si>
  <si>
    <t>LCMS</t>
  </si>
  <si>
    <t>Lending BI</t>
  </si>
  <si>
    <t>MI Lending</t>
  </si>
  <si>
    <t>Pricing</t>
  </si>
  <si>
    <t>Target</t>
  </si>
  <si>
    <t>CITRIX Issues</t>
  </si>
  <si>
    <t>mMortgage</t>
  </si>
  <si>
    <t>Other (Provide name)</t>
  </si>
  <si>
    <t>Cumulative</t>
  </si>
  <si>
    <t>DAILY VARIANCE CREATED / CLOSED</t>
  </si>
  <si>
    <t>Variances</t>
  </si>
  <si>
    <t>#</t>
  </si>
  <si>
    <t>Created</t>
  </si>
  <si>
    <t>Closed</t>
  </si>
  <si>
    <t>Opened &amp; Closed on Same Day</t>
  </si>
  <si>
    <t>CUMULATIVE VARIANCES BY SEVERITY AND STATUS</t>
  </si>
  <si>
    <t>Status</t>
  </si>
  <si>
    <t>1 - Showstopper</t>
  </si>
  <si>
    <t>2 - Critical</t>
  </si>
  <si>
    <t>3 - Non-critical</t>
  </si>
  <si>
    <t>4 - Live with</t>
  </si>
  <si>
    <t>Total</t>
  </si>
  <si>
    <t>New</t>
  </si>
  <si>
    <t>Open</t>
  </si>
  <si>
    <t>Fixed</t>
  </si>
  <si>
    <t>Awaiting Retest</t>
  </si>
  <si>
    <t>Monitor</t>
  </si>
  <si>
    <t>Reopen</t>
  </si>
  <si>
    <t>Deferred</t>
  </si>
  <si>
    <t>Rejected</t>
  </si>
  <si>
    <t>SEV 1 AGING</t>
  </si>
  <si>
    <t>0 - 4 days</t>
  </si>
  <si>
    <t>&gt; 4 Days</t>
  </si>
  <si>
    <t>CUMULATIVE VARIANCES BY ROOT CAUSE AND STATUS</t>
  </si>
  <si>
    <t>Root Cause Subtype/Status</t>
  </si>
  <si>
    <t>Sev 4</t>
  </si>
  <si>
    <t>Business Requirements</t>
  </si>
  <si>
    <t>Code</t>
  </si>
  <si>
    <t>Data</t>
  </si>
  <si>
    <t>Design</t>
  </si>
  <si>
    <t>Development Documentation</t>
  </si>
  <si>
    <t>Duplicate</t>
  </si>
  <si>
    <t>Existing Production Defect</t>
  </si>
  <si>
    <t>Not Yet Analyzed</t>
  </si>
  <si>
    <t>Not a Variance</t>
  </si>
  <si>
    <t>Solution Requirements</t>
  </si>
  <si>
    <t>Technical Constraint</t>
  </si>
  <si>
    <t>Test Case</t>
  </si>
  <si>
    <t>Test Environment</t>
  </si>
  <si>
    <t>Assigned Var. by Department</t>
  </si>
  <si>
    <t>ADM</t>
  </si>
  <si>
    <t>Business</t>
  </si>
  <si>
    <t>B&amp;SA</t>
  </si>
  <si>
    <t>QC</t>
  </si>
  <si>
    <t>TEM</t>
  </si>
  <si>
    <t>  Sev 1</t>
  </si>
  <si>
    <t>  Sev 2</t>
  </si>
  <si>
    <t>  Sev 3</t>
  </si>
  <si>
    <t>  Sev 4</t>
  </si>
  <si>
    <t>  Total Variances</t>
  </si>
  <si>
    <t>CUMULATIVE SIT EFFECTIVENESS*</t>
  </si>
  <si>
    <t>SIT/Feature</t>
  </si>
  <si>
    <t>UAT/Release</t>
  </si>
  <si>
    <t>SIT Effectiveness</t>
  </si>
  <si>
    <t xml:space="preserve">Total Number of Variances </t>
  </si>
  <si>
    <t>*Table to be included in the Daily Status Report at the end of every phase</t>
  </si>
  <si>
    <t>*To be included where applicable</t>
  </si>
  <si>
    <t>Projects Index</t>
  </si>
  <si>
    <t>DAILY STATUS REPORT</t>
  </si>
  <si>
    <t>SIT 1</t>
  </si>
  <si>
    <t>Yellow</t>
  </si>
  <si>
    <t>SUMMARY</t>
  </si>
  <si>
    <t>Testing in progress</t>
  </si>
  <si>
    <t>Variance Notes</t>
  </si>
  <si>
    <t>Issue Details</t>
  </si>
  <si>
    <t>Resolution Owner</t>
  </si>
  <si>
    <t>Status/Progress</t>
  </si>
  <si>
    <t>TARGET SCHEDULE</t>
  </si>
  <si>
    <t>Cycle / Sprint</t>
  </si>
  <si>
    <t>Planned Start</t>
  </si>
  <si>
    <t>Actual Start</t>
  </si>
  <si>
    <t>Planned End</t>
  </si>
  <si>
    <t>Actual End</t>
  </si>
  <si>
    <t>SIT 2</t>
  </si>
  <si>
    <t>UAT 1</t>
  </si>
  <si>
    <t>UAT 2</t>
  </si>
  <si>
    <t>Imp. Date:</t>
  </si>
  <si>
    <t>Concise Explanation of Why the Execution Goal Not Met</t>
  </si>
  <si>
    <t>Total Planned to date</t>
  </si>
  <si>
    <t>Cumulative Totals for Project</t>
  </si>
  <si>
    <t>Supriya Prabhu</t>
  </si>
  <si>
    <t>PBPT16393 Credit Maintenance Platform &amp; PBPT23978 Include Simplii Accounts in DM Global Unsecured Debt Calculation</t>
  </si>
  <si>
    <t>Hareesh Vuppalamarti</t>
  </si>
  <si>
    <t>Rashika</t>
  </si>
  <si>
    <t>Vaishally</t>
  </si>
  <si>
    <t>CBPTINTK-23406 Upgrade DDGS Smart Comm Appliance</t>
  </si>
  <si>
    <t>Red Trending Yellow</t>
  </si>
  <si>
    <t>Green Trending Yellow</t>
  </si>
  <si>
    <t>Bhushan</t>
  </si>
  <si>
    <t>Parth Vasoya</t>
  </si>
  <si>
    <t>Testing in progress. SIT complete.</t>
  </si>
  <si>
    <t>Sumedha</t>
  </si>
  <si>
    <t>Basim Jabbar</t>
  </si>
  <si>
    <t>Red</t>
  </si>
  <si>
    <t>CBPTINT - 3291 CLP MVP 1 Renewals</t>
  </si>
  <si>
    <t>Testing complete</t>
  </si>
  <si>
    <t>Ankur Vyas</t>
  </si>
  <si>
    <t xml:space="preserve">CBBT-23569 PCR #5 Horizon Lending API Call </t>
  </si>
  <si>
    <t>Project Name</t>
  </si>
  <si>
    <t>PM</t>
  </si>
  <si>
    <t>QA Manager &amp; TC</t>
  </si>
  <si>
    <t>SIT/UAT Start</t>
  </si>
  <si>
    <t>SIT 1 End</t>
  </si>
  <si>
    <t>SIT 2 Start</t>
  </si>
  <si>
    <t>SIT 2 End</t>
  </si>
  <si>
    <t>UAT 1 Start</t>
  </si>
  <si>
    <t>UAT 1 End</t>
  </si>
  <si>
    <t>UAT 2 Start</t>
  </si>
  <si>
    <t>UAT 2 End</t>
  </si>
  <si>
    <t>Implementation Date</t>
  </si>
  <si>
    <t>Oct 19</t>
  </si>
  <si>
    <t xml:space="preserve">CBPT Release Testing Status as of </t>
  </si>
  <si>
    <t>&lt;p class=MsoNormal&gt;&lt;span style='font-family:"Trebuchet MS",sans-serif'&gt;&lt;o:p&gt;Hi all, &lt;br&gt;&lt;br&gt;Please update test execution status for your respective projects &lt;b&gt;</t>
  </si>
  <si>
    <t>Recipiants</t>
  </si>
  <si>
    <t>Sirikantharajah, Shahini &lt;Shahini.Sirikantharajah@cibc.com&gt;;Shukla, Pankaj &lt;Pankaj.Shukla@cibc.com&gt;; DASGUPTA, INDRANIL &lt;INDRANIL.DASGUPTA@cibc.com&gt;; Sivarajah, Siva &lt;Siva.Sivarajah@cibc.com&gt;; Patel, Rahi &lt;Rahi.Patel@cibc.com&gt;; Farooqui, Omair Atiq &lt;OmairAtiq.Farooqui@cibc.com&gt;; Din, Shams-Ud &lt;Shams-Ud.Din@CIBC.com&gt;; Basu, Soumendu &lt;Soumendu.Basu@cibc.com&gt;; Muppidi, Kalyani &lt;Kalyani.Muppidi@cibc.com&gt;; Mishra, Pankaj Kumar &lt;PankajKumar.Mishra@cibc.com&gt;; Patel, Rahi &lt;Rahi.Patel@cibc.com&gt;; Bhaskar, Sukanya &lt;Sukanya.Bhaskar@cibc.com&gt;; Verma, Sharang &lt;Sharang.Verma@cibc.com&gt;</t>
  </si>
  <si>
    <t>&lt;/b&gt; as of &lt;b&gt;</t>
  </si>
  <si>
    <t>CC</t>
  </si>
  <si>
    <t>Zhang, Deborah &lt;Deborah.Zhang@cibc.com&gt;; Mendrul, Nick &lt;Nick.Mendrul@CIBC.com&gt;; Zhong, Elaine &lt;Elaine.Zhong@CIBC.com&gt;; Shrivastava, Sourabh &lt;Sourabh.Shrivastava@cibc.com&gt;; Giannopoulos, Nectarios &lt;Nectarios.Giannopoulos@cibc.com&gt;; Shapiro, Boris &lt;Boris.Shapiro@cibc.com&gt;; Sidhu, Manpreet K &lt;Manpreet.Sidhu2@cibc.com&gt;; Pandey, Pragyesh &lt;Pragyesh.Pandey@cibc.com&gt;</t>
  </si>
  <si>
    <t>&lt;/b&gt; in the 'Releases DSR'&lt;br&gt;&lt;br&gt;Below SharePoint link contains the &lt;b&gt;</t>
  </si>
  <si>
    <t>Fiscal</t>
  </si>
  <si>
    <t>F26</t>
  </si>
  <si>
    <t>&lt;/b&gt; status report - Separate sheet/tabs has been created for your respective projects:&lt;br&gt;&lt;br&gt;&lt;a
href="</t>
  </si>
  <si>
    <t xml:space="preserve">Link </t>
  </si>
  <si>
    <t>https://cibc.sharepoint.com/:f:/s/GRP-PBPTQAReleaseManagement/EsBKLs8W_Q1Dt8x9JxRPtVABkN1zA7wRtiJodFyEsxO6pA?e=JzljHY</t>
  </si>
  <si>
    <t>"&gt;</t>
  </si>
  <si>
    <t>Reporting Period</t>
  </si>
  <si>
    <t>(Nov to Dec 2025 implementations)</t>
  </si>
  <si>
    <t>&lt;br&gt;&lt;br&gt;Please get back to me in case of any questions/issues with regards to the status report.&lt;/o:p&gt;&lt;/span&gt;&lt;/p&gt;</t>
  </si>
  <si>
    <t>DSR Template Link</t>
  </si>
  <si>
    <t>https://cibc.sharepoint.com/:u:/s/pbpt7/Education/Eb0-j6KYdn5Do89btk-LC7gBd-3Hi0J28GOnx95XyOFHaQ?e=zgMGIF</t>
  </si>
  <si>
    <t>&lt;/a&gt;&lt;br&gt;&lt;br&gt;&lt;strong&gt;Please ensure you are using the most recent &lt;a
href="</t>
  </si>
  <si>
    <t>DSR Template Link (Dep)</t>
  </si>
  <si>
    <t>https://cibc.sharepoint.com/:u:/s/pbpt7/Education/EQTxZ-lx3glCnHOZMHaPvpcBOAlDYgkwPGDkUPN2syeUGg?e=JlOfKy</t>
  </si>
  <si>
    <t>"&gt;Lending&lt;/a&gt; and &lt;a
href="</t>
  </si>
  <si>
    <t>"&gt;Deposits&lt;/a&gt; DSR templates&lt;/strong&gt;</t>
  </si>
  <si>
    <t>Dist List</t>
  </si>
  <si>
    <t>Caccavelli, Pasqualino &lt;Pasqualino.Caccavelli@cibc.com&gt;; Cappa, Franca &lt;Franca.Cappa@cibc.ca&gt;; Broersma, Kristin &lt;Kristin.Broersma@CIBC.com&gt;; Grewal, Daljit1 &lt;Daljit1.Grewal@cibc.com&gt;; Mendrul, Nick &lt;Nick.Mendrul@CIBC.com&gt;; Parihar, Dheeraj &lt;Dheeraj.Parihar@cibc.com&gt;; Ng, Anthony &lt;Anthony.Ng@CIBC.com&gt;; Ramachandran, Karthikeyan &lt;Karthikeyan.Ramachandran@cibc.com&gt;; Surapaneni, Chandra &lt;Chandra.Surapaneni@CIBC.com&gt;; Gupta, Suniti &lt;Suniti.Gupta@CIBC.com&gt;; Panchalan, Jayesh &lt;Jayesh.Panchalan@CIBC.com&gt;; Battalwar, Manish &lt;Manish.Battalwar@CIBC.com&gt;; Panagiotoglou, Fred &lt;Fred.Panagiotoglou@CIBC.com&gt;; Hegde, Gautam &lt;Gautam.Hegde@cibc.com&gt;; Zhong, Elaine &lt;Elaine.Zhong@CIBC.com&gt;; Ailizhati, Elzat &lt;Elzat.Ailizhati@cibc.com&gt;; Cheng, Tom &lt;Tom.Cheng@cibc.com&gt;; Zhang, Deborah &lt;Deborah.Zhang@cibc.com&gt;; Wang, Lori &lt;Lori.Wang@CIBC.ca&gt;; Shrivastava, Sourabh &lt;Sourabh.Shrivastava@cibc.com&gt;; Singh, Jitin Pal &lt;JitinPal.Singh@cibc.com&gt;; Park, Elizabeth &lt;Elizabeth.Park2@CIBC.com&gt;; Shapiro, Boris &lt;Boris.Shapiro@cibc.com&gt;; Ovsey, Jeff &lt;Jeff.Ovsey@cibc.com&gt;; Grassa, Iolanda &lt;Iolanda.Grassa@cibc.com&gt;; Gross, Aurel &lt;Aurel.Gross@CIBC.com&gt;; Pandey, Pragyesh &lt;Pragyesh.Pandey@cibc.com&gt;; Nigam, Amit &lt;Amit.Nigam@cibc.com&gt;; Fuca, Salvatore 1 &lt;Sam.Fuca@cibc.com&gt;; Giannopoulos, Nectarios &lt;Nectarios.Giannopoulos@cibc.com&gt;; Sidhu, Manpreet K &lt;Manpreet.Sidhu2@cibc.com&gt;; McLaughlin, Brendan &lt;Brendan.McLaughlin@CIBC.com&gt;; Glaoubakh, Anna &lt;Anna.Glaoubakh@CIBC.com&gt;; Coppola, Emilia &lt;Emilia.Coppola@CIBC.com&gt;; CoreBankingPaymentsReleaseManagement, Mailbox &lt;mailbox.corebankingpaymentsreleasemanagement@cibc.com&gt;; Dailleboust, Jesse C &lt;JesseC.Dailleboust@cibc.com&gt;; Goodwin, Daniel &lt;Daniel.Goodwin@CIBC.com&gt;; Vandervalk, Allyson &lt;Allyson.Vandervalk@cibc.com&gt;; Kwok, Clement &lt;Clement.Kwok@cibc.com&gt;; Toma, Anca &lt;Anca.Toma@CIBC.com&gt;; Assad, Ryan &lt;Ryan.Assad@cibc.com&gt;; Thangudu, Himabindu &lt;Himabindu.Thangudu@cibc.com&gt;; Bucur, Vivy-May &lt;Vivy-May.Bucur@cibc.com&gt;</t>
  </si>
  <si>
    <t>Zhang, Deborah &lt;Deborah.Zhang@cibc.com&gt;; Dhatt, Daljit Kaur &lt;DaljitKaur.Dhatt@cibc.com&gt;; Rathor, Komal &lt;Komal.Rathor@cibc.com&gt;</t>
  </si>
  <si>
    <t>Releases</t>
  </si>
  <si>
    <t>F26 Nov to Dec</t>
  </si>
  <si>
    <t>DO NOT EDIT:</t>
  </si>
  <si>
    <t xml:space="preserve">&lt;p class=MsoNormal&gt;&lt;span style='font-family:"Trebuchet MS",sans-serif'&gt;&lt;o:p&gt;Hello, &lt;br&gt;&lt;br&gt;Below is the combined testing status for the </t>
  </si>
  <si>
    <t xml:space="preserve"> CBPT Releases Projects as of &lt;b&gt;</t>
  </si>
  <si>
    <t>&lt;/b&gt; &lt;br&gt;&lt;/br&gt;&lt;br&gt;&lt;/br&gt;I have included the link for those would like to see the individual project stats.&lt;br&gt;&lt;br&gt;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</si>
</sst>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d\-mmm\-yy;@"/>
  </numFmts>
  <fonts count="32">
    <font>
      <sz val="10"/>
      <color theme="1"/>
      <name val="Trebuchet MS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Trebuchet MS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i/>
      <sz val="10"/>
      <color theme="1"/>
      <name val="Trebuchet MS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name val="Trebuchet MS"/>
      <family val="2"/>
    </font>
    <font>
      <b/>
      <sz val="11"/>
      <color theme="0"/>
      <name val="Trebuchet MS"/>
      <family val="2"/>
    </font>
    <font>
      <b/>
      <sz val="11"/>
      <color indexed="8"/>
      <name val="Trebuchet MS"/>
      <family val="2"/>
    </font>
    <font>
      <b/>
      <sz val="11"/>
      <name val="Trebuchet MS"/>
      <family val="2"/>
    </font>
    <font>
      <b/>
      <sz val="12"/>
      <color theme="1"/>
      <name val="Trebuchet MS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0"/>
      <name val="Trebuchet MS"/>
      <family val="2"/>
    </font>
    <font>
      <b/>
      <u/>
      <sz val="10"/>
      <color theme="1"/>
      <name val="Trebuchet MS"/>
      <family val="2"/>
    </font>
    <font>
      <u/>
      <sz val="10"/>
      <color theme="10"/>
      <name val="Trebuchet MS"/>
      <family val="2"/>
    </font>
    <font>
      <b/>
      <sz val="10"/>
      <color theme="1"/>
      <name val="Trebuchet MS"/>
      <family val="2"/>
    </font>
    <font>
      <b/>
      <sz val="7.75"/>
      <color theme="1"/>
      <name val="Trebuchet MS"/>
      <family val="2"/>
    </font>
    <font>
      <sz val="7.75"/>
      <color theme="1"/>
      <name val="Trebuchet MS"/>
      <family val="2"/>
    </font>
    <font>
      <b/>
      <sz val="7.75"/>
      <color indexed="8"/>
      <name val="Calibri"/>
      <family val="2"/>
    </font>
    <font>
      <sz val="7.75"/>
      <color indexed="8"/>
      <name val="Calibri"/>
      <family val="2"/>
    </font>
    <font>
      <b/>
      <sz val="11"/>
      <color rgb="FF1F497D"/>
      <name val="Calibri"/>
      <family val="2"/>
    </font>
    <font>
      <sz val="8"/>
      <name val="Trebuchet MS"/>
      <family val="2"/>
    </font>
    <font>
      <sz val="10"/>
      <color theme="1"/>
      <name val="Trebuchet MS"/>
      <family val="2"/>
    </font>
    <font>
      <b/>
      <sz val="11"/>
      <color theme="0"/>
      <name val="Arial"/>
      <family val="2"/>
    </font>
    <font>
      <b/>
      <sz val="16"/>
      <color theme="0"/>
      <name val="Calibri"/>
      <family val="2"/>
      <scheme val="minor"/>
    </font>
    <font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darkDown">
        <bgColor theme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  <fill>
      <patternFill patternType="lightUp">
        <bgColor theme="3" tint="0.79998168889431442"/>
      </patternFill>
    </fill>
    <fill>
      <patternFill patternType="lightUp">
        <bgColor theme="0"/>
      </patternFill>
    </fill>
    <fill>
      <patternFill patternType="solid">
        <fgColor rgb="FF54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63634"/>
        <bgColor indexed="64"/>
      </patternFill>
    </fill>
    <fill>
      <patternFill patternType="darkUp">
        <bgColor theme="0"/>
      </patternFill>
    </fill>
    <fill>
      <patternFill patternType="solid">
        <fgColor rgb="FFDDEBF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5" fillId="0" borderId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8" fillId="0" borderId="0"/>
    <xf numFmtId="0" fontId="28" fillId="0" borderId="0"/>
    <xf numFmtId="0" fontId="3" fillId="0" borderId="0"/>
    <xf numFmtId="0" fontId="31" fillId="0" borderId="0"/>
    <xf numFmtId="0" fontId="31" fillId="0" borderId="0"/>
    <xf numFmtId="0" fontId="31" fillId="0" borderId="0"/>
    <xf numFmtId="0" fontId="2" fillId="0" borderId="0"/>
    <xf numFmtId="0" fontId="1" fillId="0" borderId="0"/>
  </cellStyleXfs>
  <cellXfs count="187">
    <xf numFmtId="0" fontId="0" fillId="0" borderId="0" xfId="0"/>
    <xf numFmtId="0" fontId="6" fillId="0" borderId="0" xfId="1" applyFont="1"/>
    <xf numFmtId="0" fontId="7" fillId="2" borderId="2" xfId="1" applyFont="1" applyFill="1" applyBorder="1"/>
    <xf numFmtId="0" fontId="8" fillId="2" borderId="5" xfId="1" applyFont="1" applyFill="1" applyBorder="1"/>
    <xf numFmtId="0" fontId="8" fillId="2" borderId="5" xfId="1" applyFont="1" applyFill="1" applyBorder="1" applyAlignment="1">
      <alignment vertical="top"/>
    </xf>
    <xf numFmtId="0" fontId="7" fillId="2" borderId="5" xfId="1" applyFont="1" applyFill="1" applyBorder="1"/>
    <xf numFmtId="0" fontId="9" fillId="3" borderId="6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vertical="center" wrapText="1"/>
    </xf>
    <xf numFmtId="0" fontId="10" fillId="0" borderId="6" xfId="1" applyFont="1" applyBorder="1" applyAlignment="1">
      <alignment horizontal="center" vertical="center"/>
    </xf>
    <xf numFmtId="0" fontId="9" fillId="0" borderId="6" xfId="1" applyFont="1" applyBorder="1" applyAlignment="1">
      <alignment vertical="center" wrapText="1"/>
    </xf>
    <xf numFmtId="0" fontId="7" fillId="5" borderId="10" xfId="1" applyFont="1" applyFill="1" applyBorder="1" applyAlignment="1">
      <alignment horizontal="center" wrapText="1"/>
    </xf>
    <xf numFmtId="0" fontId="7" fillId="3" borderId="10" xfId="1" applyFont="1" applyFill="1" applyBorder="1" applyAlignment="1">
      <alignment horizontal="center" wrapText="1"/>
    </xf>
    <xf numFmtId="0" fontId="7" fillId="3" borderId="6" xfId="1" applyFont="1" applyFill="1" applyBorder="1" applyAlignment="1">
      <alignment horizontal="center" vertical="center"/>
    </xf>
    <xf numFmtId="0" fontId="7" fillId="3" borderId="6" xfId="1" applyFont="1" applyFill="1" applyBorder="1" applyAlignment="1">
      <alignment horizontal="center" vertical="center" wrapText="1"/>
    </xf>
    <xf numFmtId="0" fontId="7" fillId="3" borderId="12" xfId="1" applyFont="1" applyFill="1" applyBorder="1" applyAlignment="1">
      <alignment horizontal="center" vertical="center" wrapText="1"/>
    </xf>
    <xf numFmtId="0" fontId="11" fillId="2" borderId="0" xfId="1" applyFont="1" applyFill="1"/>
    <xf numFmtId="0" fontId="11" fillId="2" borderId="5" xfId="1" applyFont="1" applyFill="1" applyBorder="1"/>
    <xf numFmtId="0" fontId="0" fillId="0" borderId="6" xfId="0" applyBorder="1"/>
    <xf numFmtId="0" fontId="7" fillId="11" borderId="6" xfId="1" applyFont="1" applyFill="1" applyBorder="1"/>
    <xf numFmtId="0" fontId="7" fillId="11" borderId="6" xfId="1" applyFont="1" applyFill="1" applyBorder="1" applyAlignment="1">
      <alignment vertical="top"/>
    </xf>
    <xf numFmtId="0" fontId="7" fillId="11" borderId="11" xfId="1" applyFont="1" applyFill="1" applyBorder="1" applyAlignment="1">
      <alignment horizontal="center" vertical="center" wrapText="1"/>
    </xf>
    <xf numFmtId="0" fontId="9" fillId="11" borderId="6" xfId="1" applyFont="1" applyFill="1" applyBorder="1" applyAlignment="1">
      <alignment horizontal="center" vertical="center"/>
    </xf>
    <xf numFmtId="49" fontId="0" fillId="0" borderId="6" xfId="0" applyNumberFormat="1" applyBorder="1"/>
    <xf numFmtId="0" fontId="18" fillId="12" borderId="0" xfId="0" applyFont="1" applyFill="1" applyAlignment="1">
      <alignment horizontal="center" vertical="center"/>
    </xf>
    <xf numFmtId="0" fontId="19" fillId="0" borderId="0" xfId="0" applyFont="1"/>
    <xf numFmtId="0" fontId="20" fillId="0" borderId="0" xfId="3"/>
    <xf numFmtId="0" fontId="7" fillId="2" borderId="0" xfId="1" applyFont="1" applyFill="1"/>
    <xf numFmtId="0" fontId="7" fillId="3" borderId="10" xfId="1" applyFont="1" applyFill="1" applyBorder="1" applyAlignment="1">
      <alignment horizontal="left" wrapText="1"/>
    </xf>
    <xf numFmtId="0" fontId="7" fillId="2" borderId="0" xfId="1" applyFont="1" applyFill="1" applyAlignment="1">
      <alignment horizontal="center"/>
    </xf>
    <xf numFmtId="0" fontId="7" fillId="0" borderId="6" xfId="1" applyFont="1" applyBorder="1"/>
    <xf numFmtId="0" fontId="8" fillId="2" borderId="0" xfId="1" applyFont="1" applyFill="1"/>
    <xf numFmtId="0" fontId="7" fillId="2" borderId="4" xfId="1" applyFont="1" applyFill="1" applyBorder="1"/>
    <xf numFmtId="0" fontId="24" fillId="11" borderId="6" xfId="1" applyFont="1" applyFill="1" applyBorder="1" applyAlignment="1">
      <alignment horizontal="center" vertical="center"/>
    </xf>
    <xf numFmtId="0" fontId="25" fillId="0" borderId="6" xfId="1" applyFont="1" applyBorder="1" applyAlignment="1">
      <alignment horizontal="center" vertical="center"/>
    </xf>
    <xf numFmtId="0" fontId="24" fillId="3" borderId="6" xfId="1" applyFont="1" applyFill="1" applyBorder="1" applyAlignment="1">
      <alignment horizontal="center" vertical="center"/>
    </xf>
    <xf numFmtId="0" fontId="26" fillId="0" borderId="0" xfId="0" applyFont="1"/>
    <xf numFmtId="164" fontId="21" fillId="0" borderId="0" xfId="0" applyNumberFormat="1" applyFont="1"/>
    <xf numFmtId="0" fontId="20" fillId="0" borderId="0" xfId="3" applyAlignment="1">
      <alignment wrapText="1"/>
    </xf>
    <xf numFmtId="0" fontId="0" fillId="15" borderId="16" xfId="0" applyFill="1" applyBorder="1"/>
    <xf numFmtId="0" fontId="0" fillId="15" borderId="17" xfId="0" applyFill="1" applyBorder="1" applyAlignment="1">
      <alignment wrapText="1"/>
    </xf>
    <xf numFmtId="0" fontId="0" fillId="15" borderId="0" xfId="0" applyFill="1" applyAlignment="1">
      <alignment wrapText="1"/>
    </xf>
    <xf numFmtId="0" fontId="0" fillId="0" borderId="0" xfId="0" applyAlignment="1">
      <alignment wrapText="1"/>
    </xf>
    <xf numFmtId="0" fontId="7" fillId="3" borderId="6" xfId="1" applyFont="1" applyFill="1" applyBorder="1" applyAlignment="1">
      <alignment horizontal="center"/>
    </xf>
    <xf numFmtId="9" fontId="10" fillId="0" borderId="6" xfId="1" applyNumberFormat="1" applyFont="1" applyBorder="1" applyAlignment="1">
      <alignment horizontal="center" vertical="center"/>
    </xf>
    <xf numFmtId="0" fontId="0" fillId="16" borderId="6" xfId="0" applyFill="1" applyBorder="1" applyAlignment="1">
      <alignment horizontal="center" vertical="center" wrapText="1"/>
    </xf>
    <xf numFmtId="0" fontId="0" fillId="16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6" fontId="0" fillId="0" borderId="6" xfId="0" applyNumberFormat="1" applyBorder="1" applyAlignment="1">
      <alignment horizontal="center" vertical="center"/>
    </xf>
    <xf numFmtId="15" fontId="4" fillId="0" borderId="6" xfId="1" applyNumberFormat="1" applyFont="1" applyBorder="1"/>
    <xf numFmtId="0" fontId="4" fillId="0" borderId="0" xfId="1" applyFont="1"/>
    <xf numFmtId="0" fontId="4" fillId="2" borderId="0" xfId="1" applyFont="1" applyFill="1"/>
    <xf numFmtId="0" fontId="4" fillId="2" borderId="4" xfId="1" applyFont="1" applyFill="1" applyBorder="1"/>
    <xf numFmtId="0" fontId="4" fillId="9" borderId="6" xfId="1" applyFont="1" applyFill="1" applyBorder="1"/>
    <xf numFmtId="14" fontId="4" fillId="0" borderId="10" xfId="1" applyNumberFormat="1" applyFont="1" applyBorder="1"/>
    <xf numFmtId="0" fontId="4" fillId="0" borderId="0" xfId="1" applyFont="1" applyAlignment="1">
      <alignment vertical="center"/>
    </xf>
    <xf numFmtId="0" fontId="4" fillId="2" borderId="5" xfId="1" applyFont="1" applyFill="1" applyBorder="1"/>
    <xf numFmtId="1" fontId="4" fillId="2" borderId="6" xfId="1" applyNumberFormat="1" applyFont="1" applyFill="1" applyBorder="1" applyAlignment="1">
      <alignment horizontal="center" vertical="center"/>
    </xf>
    <xf numFmtId="9" fontId="4" fillId="2" borderId="6" xfId="1" applyNumberFormat="1" applyFont="1" applyFill="1" applyBorder="1" applyAlignment="1">
      <alignment horizontal="center" vertical="center"/>
    </xf>
    <xf numFmtId="9" fontId="4" fillId="0" borderId="6" xfId="2" applyFont="1" applyBorder="1" applyAlignment="1">
      <alignment horizontal="center"/>
    </xf>
    <xf numFmtId="0" fontId="4" fillId="0" borderId="0" xfId="1" applyFont="1" applyAlignment="1">
      <alignment horizontal="left"/>
    </xf>
    <xf numFmtId="0" fontId="4" fillId="2" borderId="0" xfId="1" applyFont="1" applyFill="1" applyAlignment="1">
      <alignment horizontal="center"/>
    </xf>
    <xf numFmtId="9" fontId="4" fillId="0" borderId="0" xfId="2" applyFont="1" applyAlignment="1">
      <alignment horizontal="center"/>
    </xf>
    <xf numFmtId="9" fontId="4" fillId="13" borderId="6" xfId="2" applyFont="1" applyFill="1" applyBorder="1" applyAlignment="1">
      <alignment horizontal="center"/>
    </xf>
    <xf numFmtId="9" fontId="4" fillId="2" borderId="6" xfId="2" applyFont="1" applyFill="1" applyBorder="1" applyAlignment="1">
      <alignment horizontal="center"/>
    </xf>
    <xf numFmtId="9" fontId="4" fillId="3" borderId="6" xfId="2" applyFont="1" applyFill="1" applyBorder="1" applyAlignment="1">
      <alignment horizontal="center"/>
    </xf>
    <xf numFmtId="0" fontId="4" fillId="0" borderId="0" xfId="1" applyFont="1" applyAlignment="1">
      <alignment horizontal="center"/>
    </xf>
    <xf numFmtId="0" fontId="4" fillId="2" borderId="6" xfId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/>
    </xf>
    <xf numFmtId="0" fontId="4" fillId="2" borderId="6" xfId="1" applyFont="1" applyFill="1" applyBorder="1" applyAlignment="1">
      <alignment horizontal="right" vertical="center"/>
    </xf>
    <xf numFmtId="9" fontId="4" fillId="2" borderId="6" xfId="1" applyNumberFormat="1" applyFont="1" applyFill="1" applyBorder="1" applyAlignment="1">
      <alignment horizontal="right" vertical="center"/>
    </xf>
    <xf numFmtId="0" fontId="4" fillId="2" borderId="6" xfId="1" applyFont="1" applyFill="1" applyBorder="1"/>
    <xf numFmtId="0" fontId="4" fillId="0" borderId="6" xfId="1" applyFont="1" applyBorder="1" applyAlignment="1">
      <alignment horizontal="center"/>
    </xf>
    <xf numFmtId="0" fontId="4" fillId="4" borderId="6" xfId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left"/>
    </xf>
    <xf numFmtId="0" fontId="4" fillId="2" borderId="0" xfId="1" applyFont="1" applyFill="1" applyAlignment="1">
      <alignment horizontal="left"/>
    </xf>
    <xf numFmtId="0" fontId="4" fillId="2" borderId="3" xfId="1" applyFont="1" applyFill="1" applyBorder="1"/>
    <xf numFmtId="0" fontId="4" fillId="2" borderId="2" xfId="1" applyFont="1" applyFill="1" applyBorder="1"/>
    <xf numFmtId="0" fontId="4" fillId="2" borderId="1" xfId="1" applyFont="1" applyFill="1" applyBorder="1"/>
    <xf numFmtId="0" fontId="4" fillId="2" borderId="10" xfId="1" applyFont="1" applyFill="1" applyBorder="1"/>
    <xf numFmtId="14" fontId="4" fillId="0" borderId="6" xfId="1" applyNumberFormat="1" applyFont="1" applyBorder="1"/>
    <xf numFmtId="0" fontId="4" fillId="2" borderId="3" xfId="1" applyFont="1" applyFill="1" applyBorder="1" applyAlignment="1">
      <alignment horizontal="left" vertical="top"/>
    </xf>
    <xf numFmtId="0" fontId="4" fillId="2" borderId="0" xfId="1" applyFont="1" applyFill="1" applyAlignment="1">
      <alignment horizontal="left" vertical="top"/>
    </xf>
    <xf numFmtId="0" fontId="4" fillId="11" borderId="6" xfId="1" applyFont="1" applyFill="1" applyBorder="1" applyAlignment="1">
      <alignment horizontal="center"/>
    </xf>
    <xf numFmtId="0" fontId="4" fillId="0" borderId="6" xfId="1" applyFont="1" applyBorder="1"/>
    <xf numFmtId="0" fontId="4" fillId="11" borderId="6" xfId="1" applyFont="1" applyFill="1" applyBorder="1"/>
    <xf numFmtId="15" fontId="4" fillId="2" borderId="6" xfId="1" applyNumberFormat="1" applyFont="1" applyFill="1" applyBorder="1"/>
    <xf numFmtId="9" fontId="4" fillId="0" borderId="0" xfId="2" applyFont="1" applyBorder="1" applyAlignment="1">
      <alignment horizontal="center"/>
    </xf>
    <xf numFmtId="0" fontId="4" fillId="14" borderId="6" xfId="1" applyFont="1" applyFill="1" applyBorder="1" applyAlignment="1">
      <alignment horizontal="center" vertical="center"/>
    </xf>
    <xf numFmtId="9" fontId="4" fillId="14" borderId="6" xfId="2" applyFont="1" applyFill="1" applyBorder="1" applyAlignment="1">
      <alignment horizontal="center"/>
    </xf>
    <xf numFmtId="15" fontId="4" fillId="2" borderId="6" xfId="1" applyNumberFormat="1" applyFont="1" applyFill="1" applyBorder="1" applyAlignment="1">
      <alignment horizontal="center" vertical="center"/>
    </xf>
    <xf numFmtId="15" fontId="0" fillId="0" borderId="6" xfId="0" applyNumberFormat="1" applyBorder="1"/>
    <xf numFmtId="0" fontId="0" fillId="0" borderId="0" xfId="0" quotePrefix="1"/>
    <xf numFmtId="16" fontId="4" fillId="0" borderId="0" xfId="1" applyNumberFormat="1" applyFont="1"/>
    <xf numFmtId="0" fontId="29" fillId="6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left" vertical="top" wrapText="1"/>
    </xf>
    <xf numFmtId="0" fontId="0" fillId="16" borderId="6" xfId="0" applyFill="1" applyBorder="1" applyAlignment="1">
      <alignment horizontal="center" vertical="center" wrapText="1"/>
    </xf>
    <xf numFmtId="0" fontId="30" fillId="10" borderId="0" xfId="0" applyFont="1" applyFill="1" applyAlignment="1">
      <alignment horizontal="center" vertical="center" wrapText="1"/>
    </xf>
    <xf numFmtId="0" fontId="30" fillId="10" borderId="2" xfId="0" applyFont="1" applyFill="1" applyBorder="1" applyAlignment="1">
      <alignment horizontal="center" vertical="center" wrapText="1"/>
    </xf>
    <xf numFmtId="0" fontId="4" fillId="2" borderId="8" xfId="1" applyFont="1" applyFill="1" applyBorder="1" applyAlignment="1">
      <alignment horizontal="center"/>
    </xf>
    <xf numFmtId="0" fontId="4" fillId="2" borderId="7" xfId="1" applyFont="1" applyFill="1" applyBorder="1" applyAlignment="1">
      <alignment horizontal="center"/>
    </xf>
    <xf numFmtId="9" fontId="4" fillId="2" borderId="8" xfId="1" applyNumberFormat="1" applyFont="1" applyFill="1" applyBorder="1" applyAlignment="1">
      <alignment horizontal="center"/>
    </xf>
    <xf numFmtId="0" fontId="13" fillId="0" borderId="6" xfId="1" applyFont="1" applyBorder="1" applyAlignment="1">
      <alignment horizontal="left" vertical="center" wrapText="1"/>
    </xf>
    <xf numFmtId="0" fontId="7" fillId="11" borderId="6" xfId="1" applyFont="1" applyFill="1" applyBorder="1" applyAlignment="1">
      <alignment horizontal="center"/>
    </xf>
    <xf numFmtId="0" fontId="7" fillId="11" borderId="6" xfId="1" applyFont="1" applyFill="1" applyBorder="1" applyAlignment="1">
      <alignment horizontal="left"/>
    </xf>
    <xf numFmtId="0" fontId="7" fillId="11" borderId="11" xfId="1" applyFont="1" applyFill="1" applyBorder="1" applyAlignment="1">
      <alignment horizontal="center"/>
    </xf>
    <xf numFmtId="0" fontId="7" fillId="11" borderId="9" xfId="1" applyFont="1" applyFill="1" applyBorder="1" applyAlignment="1">
      <alignment horizontal="center"/>
    </xf>
    <xf numFmtId="0" fontId="7" fillId="11" borderId="3" xfId="1" applyFont="1" applyFill="1" applyBorder="1" applyAlignment="1">
      <alignment horizontal="center"/>
    </xf>
    <xf numFmtId="0" fontId="7" fillId="11" borderId="1" xfId="1" applyFont="1" applyFill="1" applyBorder="1" applyAlignment="1">
      <alignment horizontal="center"/>
    </xf>
    <xf numFmtId="0" fontId="4" fillId="2" borderId="8" xfId="1" applyFont="1" applyFill="1" applyBorder="1" applyAlignment="1">
      <alignment horizontal="left"/>
    </xf>
    <xf numFmtId="0" fontId="4" fillId="2" borderId="7" xfId="1" applyFont="1" applyFill="1" applyBorder="1" applyAlignment="1">
      <alignment horizontal="left"/>
    </xf>
    <xf numFmtId="0" fontId="11" fillId="2" borderId="8" xfId="1" applyFont="1" applyFill="1" applyBorder="1" applyAlignment="1">
      <alignment horizontal="left"/>
    </xf>
    <xf numFmtId="0" fontId="11" fillId="2" borderId="7" xfId="1" applyFont="1" applyFill="1" applyBorder="1" applyAlignment="1">
      <alignment horizontal="left"/>
    </xf>
    <xf numFmtId="0" fontId="4" fillId="3" borderId="8" xfId="1" applyFont="1" applyFill="1" applyBorder="1" applyAlignment="1">
      <alignment horizontal="left"/>
    </xf>
    <xf numFmtId="0" fontId="4" fillId="3" borderId="7" xfId="1" applyFont="1" applyFill="1" applyBorder="1" applyAlignment="1">
      <alignment horizontal="left"/>
    </xf>
    <xf numFmtId="0" fontId="7" fillId="3" borderId="8" xfId="1" applyFont="1" applyFill="1" applyBorder="1" applyAlignment="1">
      <alignment horizontal="left" vertical="center" wrapText="1"/>
    </xf>
    <xf numFmtId="0" fontId="7" fillId="3" borderId="7" xfId="1" applyFont="1" applyFill="1" applyBorder="1" applyAlignment="1">
      <alignment horizontal="left" vertical="center" wrapText="1"/>
    </xf>
    <xf numFmtId="0" fontId="4" fillId="0" borderId="8" xfId="1" applyFont="1" applyBorder="1" applyAlignment="1">
      <alignment horizontal="left"/>
    </xf>
    <xf numFmtId="0" fontId="4" fillId="0" borderId="7" xfId="1" applyFont="1" applyBorder="1" applyAlignment="1">
      <alignment horizontal="left"/>
    </xf>
    <xf numFmtId="0" fontId="7" fillId="11" borderId="8" xfId="1" applyFont="1" applyFill="1" applyBorder="1" applyAlignment="1">
      <alignment horizontal="left"/>
    </xf>
    <xf numFmtId="0" fontId="7" fillId="11" borderId="7" xfId="1" applyFont="1" applyFill="1" applyBorder="1" applyAlignment="1">
      <alignment horizontal="left"/>
    </xf>
    <xf numFmtId="0" fontId="7" fillId="3" borderId="3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left" vertical="center"/>
    </xf>
    <xf numFmtId="0" fontId="14" fillId="8" borderId="6" xfId="1" applyFont="1" applyFill="1" applyBorder="1" applyAlignment="1">
      <alignment horizontal="left"/>
    </xf>
    <xf numFmtId="0" fontId="4" fillId="9" borderId="6" xfId="1" applyFont="1" applyFill="1" applyBorder="1" applyAlignment="1">
      <alignment horizontal="left" vertical="top"/>
    </xf>
    <xf numFmtId="0" fontId="7" fillId="3" borderId="6" xfId="1" applyFont="1" applyFill="1" applyBorder="1" applyAlignment="1">
      <alignment horizontal="left"/>
    </xf>
    <xf numFmtId="0" fontId="4" fillId="2" borderId="11" xfId="1" applyFont="1" applyFill="1" applyBorder="1" applyAlignment="1">
      <alignment horizontal="left" vertical="top" wrapText="1"/>
    </xf>
    <xf numFmtId="0" fontId="4" fillId="2" borderId="13" xfId="1" applyFont="1" applyFill="1" applyBorder="1" applyAlignment="1">
      <alignment horizontal="left" vertical="top"/>
    </xf>
    <xf numFmtId="0" fontId="4" fillId="2" borderId="9" xfId="1" applyFont="1" applyFill="1" applyBorder="1" applyAlignment="1">
      <alignment horizontal="left" vertical="top"/>
    </xf>
    <xf numFmtId="0" fontId="4" fillId="2" borderId="5" xfId="1" applyFont="1" applyFill="1" applyBorder="1" applyAlignment="1">
      <alignment horizontal="left" vertical="top"/>
    </xf>
    <xf numFmtId="0" fontId="4" fillId="2" borderId="0" xfId="1" applyFont="1" applyFill="1" applyAlignment="1">
      <alignment horizontal="left" vertical="top"/>
    </xf>
    <xf numFmtId="0" fontId="4" fillId="2" borderId="4" xfId="1" applyFont="1" applyFill="1" applyBorder="1" applyAlignment="1">
      <alignment horizontal="left" vertical="top"/>
    </xf>
    <xf numFmtId="0" fontId="4" fillId="2" borderId="3" xfId="1" applyFont="1" applyFill="1" applyBorder="1" applyAlignment="1">
      <alignment horizontal="left" vertical="top"/>
    </xf>
    <xf numFmtId="0" fontId="4" fillId="2" borderId="2" xfId="1" applyFont="1" applyFill="1" applyBorder="1" applyAlignment="1">
      <alignment horizontal="left" vertical="top"/>
    </xf>
    <xf numFmtId="0" fontId="4" fillId="2" borderId="1" xfId="1" applyFont="1" applyFill="1" applyBorder="1" applyAlignment="1">
      <alignment horizontal="left" vertical="top"/>
    </xf>
    <xf numFmtId="0" fontId="7" fillId="2" borderId="6" xfId="1" applyFont="1" applyFill="1" applyBorder="1" applyAlignment="1">
      <alignment horizontal="left" vertical="top"/>
    </xf>
    <xf numFmtId="0" fontId="15" fillId="7" borderId="8" xfId="1" applyFont="1" applyFill="1" applyBorder="1" applyAlignment="1">
      <alignment horizontal="center"/>
    </xf>
    <xf numFmtId="0" fontId="15" fillId="7" borderId="12" xfId="1" applyFont="1" applyFill="1" applyBorder="1" applyAlignment="1">
      <alignment horizontal="center"/>
    </xf>
    <xf numFmtId="0" fontId="15" fillId="7" borderId="7" xfId="1" applyFont="1" applyFill="1" applyBorder="1" applyAlignment="1">
      <alignment horizontal="center"/>
    </xf>
    <xf numFmtId="0" fontId="11" fillId="8" borderId="6" xfId="1" applyFont="1" applyFill="1" applyBorder="1" applyAlignment="1">
      <alignment horizontal="left"/>
    </xf>
    <xf numFmtId="0" fontId="4" fillId="9" borderId="6" xfId="1" applyFont="1" applyFill="1" applyBorder="1" applyAlignment="1">
      <alignment horizontal="left"/>
    </xf>
    <xf numFmtId="0" fontId="11" fillId="3" borderId="6" xfId="1" applyFont="1" applyFill="1" applyBorder="1" applyAlignment="1">
      <alignment horizontal="left"/>
    </xf>
    <xf numFmtId="0" fontId="14" fillId="3" borderId="8" xfId="1" applyFont="1" applyFill="1" applyBorder="1" applyAlignment="1">
      <alignment horizontal="left"/>
    </xf>
    <xf numFmtId="0" fontId="11" fillId="3" borderId="7" xfId="1" applyFont="1" applyFill="1" applyBorder="1" applyAlignment="1">
      <alignment horizontal="left"/>
    </xf>
    <xf numFmtId="14" fontId="4" fillId="0" borderId="6" xfId="1" applyNumberFormat="1" applyFont="1" applyBorder="1" applyAlignment="1">
      <alignment horizontal="left"/>
    </xf>
    <xf numFmtId="0" fontId="4" fillId="0" borderId="6" xfId="1" applyFont="1" applyBorder="1" applyAlignment="1">
      <alignment horizontal="left"/>
    </xf>
    <xf numFmtId="1" fontId="4" fillId="2" borderId="8" xfId="1" applyNumberFormat="1" applyFont="1" applyFill="1" applyBorder="1" applyAlignment="1">
      <alignment horizontal="center"/>
    </xf>
    <xf numFmtId="1" fontId="4" fillId="2" borderId="7" xfId="1" applyNumberFormat="1" applyFont="1" applyFill="1" applyBorder="1" applyAlignment="1">
      <alignment horizontal="center"/>
    </xf>
    <xf numFmtId="0" fontId="7" fillId="3" borderId="6" xfId="1" applyFont="1" applyFill="1" applyBorder="1" applyAlignment="1">
      <alignment horizontal="center"/>
    </xf>
    <xf numFmtId="0" fontId="7" fillId="2" borderId="6" xfId="1" applyFont="1" applyFill="1" applyBorder="1" applyAlignment="1">
      <alignment horizontal="left"/>
    </xf>
    <xf numFmtId="0" fontId="7" fillId="2" borderId="10" xfId="1" applyFont="1" applyFill="1" applyBorder="1" applyAlignment="1">
      <alignment horizontal="left"/>
    </xf>
    <xf numFmtId="0" fontId="12" fillId="6" borderId="8" xfId="1" applyFont="1" applyFill="1" applyBorder="1" applyAlignment="1">
      <alignment horizontal="center"/>
    </xf>
    <xf numFmtId="0" fontId="12" fillId="6" borderId="7" xfId="1" applyFont="1" applyFill="1" applyBorder="1" applyAlignment="1">
      <alignment horizontal="center"/>
    </xf>
    <xf numFmtId="0" fontId="7" fillId="3" borderId="8" xfId="1" applyFont="1" applyFill="1" applyBorder="1" applyAlignment="1">
      <alignment horizontal="left"/>
    </xf>
    <xf numFmtId="0" fontId="7" fillId="3" borderId="7" xfId="1" applyFont="1" applyFill="1" applyBorder="1" applyAlignment="1">
      <alignment horizontal="left"/>
    </xf>
    <xf numFmtId="0" fontId="4" fillId="3" borderId="8" xfId="1" applyFont="1" applyFill="1" applyBorder="1" applyAlignment="1">
      <alignment horizontal="center"/>
    </xf>
    <xf numFmtId="0" fontId="4" fillId="3" borderId="7" xfId="1" applyFont="1" applyFill="1" applyBorder="1" applyAlignment="1">
      <alignment horizontal="center"/>
    </xf>
    <xf numFmtId="0" fontId="7" fillId="2" borderId="3" xfId="1" applyFont="1" applyFill="1" applyBorder="1" applyAlignment="1">
      <alignment horizontal="left" vertical="top"/>
    </xf>
    <xf numFmtId="0" fontId="7" fillId="2" borderId="2" xfId="1" applyFont="1" applyFill="1" applyBorder="1" applyAlignment="1">
      <alignment horizontal="left" vertical="top"/>
    </xf>
    <xf numFmtId="0" fontId="14" fillId="3" borderId="6" xfId="1" applyFont="1" applyFill="1" applyBorder="1" applyAlignment="1">
      <alignment horizontal="left"/>
    </xf>
    <xf numFmtId="0" fontId="4" fillId="2" borderId="6" xfId="1" applyFont="1" applyFill="1" applyBorder="1" applyAlignment="1">
      <alignment horizontal="left"/>
    </xf>
    <xf numFmtId="0" fontId="14" fillId="11" borderId="6" xfId="1" applyFont="1" applyFill="1" applyBorder="1" applyAlignment="1">
      <alignment horizontal="left"/>
    </xf>
    <xf numFmtId="0" fontId="14" fillId="11" borderId="8" xfId="1" applyFont="1" applyFill="1" applyBorder="1" applyAlignment="1">
      <alignment horizontal="left"/>
    </xf>
    <xf numFmtId="0" fontId="11" fillId="11" borderId="7" xfId="1" applyFont="1" applyFill="1" applyBorder="1" applyAlignment="1">
      <alignment horizontal="left"/>
    </xf>
    <xf numFmtId="0" fontId="11" fillId="11" borderId="6" xfId="1" applyFont="1" applyFill="1" applyBorder="1" applyAlignment="1">
      <alignment horizontal="left"/>
    </xf>
    <xf numFmtId="0" fontId="4" fillId="2" borderId="11" xfId="1" applyFont="1" applyFill="1" applyBorder="1" applyAlignment="1">
      <alignment horizontal="left" vertical="top"/>
    </xf>
    <xf numFmtId="0" fontId="4" fillId="2" borderId="10" xfId="1" applyFont="1" applyFill="1" applyBorder="1" applyAlignment="1">
      <alignment horizontal="left" vertical="top"/>
    </xf>
    <xf numFmtId="0" fontId="4" fillId="2" borderId="14" xfId="1" applyFont="1" applyFill="1" applyBorder="1" applyAlignment="1">
      <alignment horizontal="left" vertical="top"/>
    </xf>
    <xf numFmtId="0" fontId="4" fillId="2" borderId="15" xfId="1" applyFont="1" applyFill="1" applyBorder="1" applyAlignment="1">
      <alignment horizontal="left" vertical="top"/>
    </xf>
    <xf numFmtId="0" fontId="7" fillId="0" borderId="6" xfId="1" applyFont="1" applyBorder="1" applyAlignment="1">
      <alignment horizontal="left"/>
    </xf>
    <xf numFmtId="0" fontId="4" fillId="2" borderId="6" xfId="1" applyFont="1" applyFill="1" applyBorder="1" applyAlignment="1">
      <alignment horizontal="left" vertical="top"/>
    </xf>
    <xf numFmtId="0" fontId="7" fillId="11" borderId="8" xfId="1" applyFont="1" applyFill="1" applyBorder="1" applyAlignment="1">
      <alignment horizontal="center" vertical="top"/>
    </xf>
    <xf numFmtId="0" fontId="7" fillId="11" borderId="7" xfId="1" applyFont="1" applyFill="1" applyBorder="1" applyAlignment="1">
      <alignment horizontal="center" vertical="top"/>
    </xf>
    <xf numFmtId="0" fontId="11" fillId="14" borderId="8" xfId="1" applyFont="1" applyFill="1" applyBorder="1" applyAlignment="1">
      <alignment horizontal="left"/>
    </xf>
    <xf numFmtId="0" fontId="11" fillId="14" borderId="7" xfId="1" applyFont="1" applyFill="1" applyBorder="1" applyAlignment="1">
      <alignment horizontal="left"/>
    </xf>
    <xf numFmtId="0" fontId="22" fillId="11" borderId="8" xfId="1" applyFont="1" applyFill="1" applyBorder="1" applyAlignment="1">
      <alignment horizontal="center" vertical="center" wrapText="1"/>
    </xf>
    <xf numFmtId="0" fontId="22" fillId="11" borderId="12" xfId="1" applyFont="1" applyFill="1" applyBorder="1" applyAlignment="1">
      <alignment horizontal="center" vertical="center" wrapText="1"/>
    </xf>
    <xf numFmtId="0" fontId="22" fillId="11" borderId="7" xfId="1" applyFont="1" applyFill="1" applyBorder="1" applyAlignment="1">
      <alignment horizontal="center" vertical="center" wrapText="1"/>
    </xf>
    <xf numFmtId="0" fontId="23" fillId="2" borderId="8" xfId="1" applyFont="1" applyFill="1" applyBorder="1" applyAlignment="1">
      <alignment horizontal="left" vertical="top"/>
    </xf>
    <xf numFmtId="0" fontId="23" fillId="2" borderId="12" xfId="1" applyFont="1" applyFill="1" applyBorder="1" applyAlignment="1">
      <alignment horizontal="left" vertical="top"/>
    </xf>
    <xf numFmtId="0" fontId="23" fillId="2" borderId="7" xfId="1" applyFont="1" applyFill="1" applyBorder="1" applyAlignment="1">
      <alignment horizontal="left" vertical="top"/>
    </xf>
    <xf numFmtId="0" fontId="7" fillId="3" borderId="8" xfId="1" applyFont="1" applyFill="1" applyBorder="1" applyAlignment="1"/>
    <xf numFmtId="0" fontId="7" fillId="3" borderId="7" xfId="1" applyFont="1" applyFill="1" applyBorder="1" applyAlignment="1"/>
  </cellXfs>
  <cellStyles count="12">
    <cellStyle name="Hyperlink" xfId="3" builtinId="8"/>
    <cellStyle name="Normal" xfId="0" builtinId="0"/>
    <cellStyle name="Normal 10 2" xfId="9" xr:uid="{33B82586-512F-4908-BAA7-4D445E989FBB}"/>
    <cellStyle name="Normal 2" xfId="4" xr:uid="{A7286CD5-FF79-4C8A-8A32-879D18B2BF96}"/>
    <cellStyle name="Normal 2 2" xfId="7" xr:uid="{E5E185C5-5CCE-482F-8CF1-2B72BBD4756F}"/>
    <cellStyle name="Normal 3" xfId="1" xr:uid="{00000000-0005-0000-0000-000002000000}"/>
    <cellStyle name="Normal 3 2" xfId="8" xr:uid="{56C36C8F-924E-4E65-A90D-CBB583A2C2B3}"/>
    <cellStyle name="Normal 4" xfId="5" xr:uid="{7F4545AF-3017-46BE-B20B-74C2D23AD346}"/>
    <cellStyle name="Normal 5" xfId="6" xr:uid="{0FAE2E85-411E-4EB9-B69B-023A7206995B}"/>
    <cellStyle name="Normal 6" xfId="10" xr:uid="{664A9319-668C-4589-B721-3EDC2F97CCA5}"/>
    <cellStyle name="Normal 7" xfId="11" xr:uid="{5E89C115-49F4-466B-B953-8920926E9438}"/>
    <cellStyle name="Percent 2" xfId="2" xr:uid="{00000000-0005-0000-0000-000003000000}"/>
  </cellStyles>
  <dxfs count="347"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color rgb="FF000000"/>
      </font>
      <fill>
        <patternFill>
          <fgColor indexed="64"/>
          <bgColor rgb="FFFFFFFF"/>
        </pattern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FFFF00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0000"/>
          </stop>
        </gradientFill>
      </fill>
    </dxf>
    <dxf>
      <font>
        <b/>
        <i val="0"/>
        <color rgb="FF000000"/>
      </font>
      <fill>
        <gradientFill>
          <stop position="0">
            <color rgb="FFFF00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FFFF00"/>
          </stop>
          <stop position="1">
            <color rgb="FF1AA149"/>
          </stop>
        </gradientFill>
      </fill>
    </dxf>
    <dxf>
      <font>
        <b/>
        <i val="0"/>
        <color rgb="FF000000"/>
      </font>
      <fill>
        <gradientFill>
          <stop position="0">
            <color rgb="FF1AA149"/>
          </stop>
          <stop position="1">
            <color rgb="FFFFFF00"/>
          </stop>
        </gradientFill>
      </fill>
    </dxf>
    <dxf>
      <font>
        <b/>
        <i val="0"/>
        <color theme="1"/>
      </font>
      <fill>
        <patternFill>
          <fgColor indexed="64"/>
          <bgColor rgb="FF00B0F0"/>
        </patternFill>
      </fill>
    </dxf>
    <dxf>
      <font>
        <b/>
        <i val="0"/>
        <color rgb="FF000000"/>
      </font>
      <fill>
        <patternFill>
          <fgColor indexed="64"/>
          <bgColor rgb="FFFFFF00"/>
        </patternFill>
      </fill>
    </dxf>
    <dxf>
      <font>
        <b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0000"/>
      </font>
      <fill>
        <patternFill>
          <fgColor theme="0"/>
          <bgColor rgb="FF1AA149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  <dxf>
      <font>
        <b/>
        <i val="0"/>
        <strike val="0"/>
      </font>
      <fill>
        <patternFill>
          <bgColor rgb="FFFFFF00"/>
        </patternFill>
      </fill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00B050"/>
        </patternFill>
      </fill>
    </dxf>
  </dxfs>
  <tableStyles count="1" defaultTableStyle="TableStyleMedium2" defaultPivotStyle="PivotStyleLight16">
    <tableStyle name="Invisible" pivot="0" table="0" count="0" xr9:uid="{93C69C11-34DB-4683-A97E-7D64F841A138}"/>
  </tableStyles>
  <colors>
    <mruColors>
      <color rgb="FF540000"/>
      <color rgb="FFDDEBF7"/>
      <color rgb="FF963634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252307</xdr:colOff>
      <xdr:row>85</xdr:row>
      <xdr:rowOff>26247</xdr:rowOff>
    </xdr:from>
    <xdr:to>
      <xdr:col>7</xdr:col>
      <xdr:colOff>387774</xdr:colOff>
      <xdr:row>85</xdr:row>
      <xdr:rowOff>144781</xdr:rowOff>
    </xdr:to>
    <xdr:sp macro="" textlink="">
      <xdr:nvSpPr>
        <xdr:cNvPr id="56" name="Isosceles Triangle 55">
          <a:extLst>
            <a:ext uri="{FF2B5EF4-FFF2-40B4-BE49-F238E27FC236}">
              <a16:creationId xmlns:a16="http://schemas.microsoft.com/office/drawing/2014/main" id="{00F7C5DC-3A1D-4112-A284-1EA8BFB8464A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85</xdr:row>
      <xdr:rowOff>26247</xdr:rowOff>
    </xdr:from>
    <xdr:to>
      <xdr:col>9</xdr:col>
      <xdr:colOff>379307</xdr:colOff>
      <xdr:row>85</xdr:row>
      <xdr:rowOff>144781</xdr:rowOff>
    </xdr:to>
    <xdr:sp macro="" textlink="">
      <xdr:nvSpPr>
        <xdr:cNvPr id="57" name="Isosceles Triangle 56">
          <a:extLst>
            <a:ext uri="{FF2B5EF4-FFF2-40B4-BE49-F238E27FC236}">
              <a16:creationId xmlns:a16="http://schemas.microsoft.com/office/drawing/2014/main" id="{C7BA2EAE-1EA4-4A0F-87AE-71A12A750DC4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85</xdr:row>
      <xdr:rowOff>26247</xdr:rowOff>
    </xdr:from>
    <xdr:to>
      <xdr:col>11</xdr:col>
      <xdr:colOff>387774</xdr:colOff>
      <xdr:row>85</xdr:row>
      <xdr:rowOff>144781</xdr:rowOff>
    </xdr:to>
    <xdr:sp macro="" textlink="">
      <xdr:nvSpPr>
        <xdr:cNvPr id="58" name="Isosceles Triangle 57">
          <a:extLst>
            <a:ext uri="{FF2B5EF4-FFF2-40B4-BE49-F238E27FC236}">
              <a16:creationId xmlns:a16="http://schemas.microsoft.com/office/drawing/2014/main" id="{EE4A3C74-F918-4A56-8644-042D61022946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89</xdr:row>
      <xdr:rowOff>26247</xdr:rowOff>
    </xdr:from>
    <xdr:to>
      <xdr:col>7</xdr:col>
      <xdr:colOff>387774</xdr:colOff>
      <xdr:row>89</xdr:row>
      <xdr:rowOff>144781</xdr:rowOff>
    </xdr:to>
    <xdr:sp macro="" textlink="">
      <xdr:nvSpPr>
        <xdr:cNvPr id="59" name="Isosceles Triangle 58">
          <a:extLst>
            <a:ext uri="{FF2B5EF4-FFF2-40B4-BE49-F238E27FC236}">
              <a16:creationId xmlns:a16="http://schemas.microsoft.com/office/drawing/2014/main" id="{0FD102F8-A957-4AD7-AF4C-F58178D55A95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89</xdr:row>
      <xdr:rowOff>26247</xdr:rowOff>
    </xdr:from>
    <xdr:to>
      <xdr:col>9</xdr:col>
      <xdr:colOff>379307</xdr:colOff>
      <xdr:row>89</xdr:row>
      <xdr:rowOff>144781</xdr:rowOff>
    </xdr:to>
    <xdr:sp macro="" textlink="">
      <xdr:nvSpPr>
        <xdr:cNvPr id="60" name="Isosceles Triangle 59">
          <a:extLst>
            <a:ext uri="{FF2B5EF4-FFF2-40B4-BE49-F238E27FC236}">
              <a16:creationId xmlns:a16="http://schemas.microsoft.com/office/drawing/2014/main" id="{26622B69-2034-4082-A89F-1991E1A5ED8F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89</xdr:row>
      <xdr:rowOff>26247</xdr:rowOff>
    </xdr:from>
    <xdr:to>
      <xdr:col>11</xdr:col>
      <xdr:colOff>387774</xdr:colOff>
      <xdr:row>89</xdr:row>
      <xdr:rowOff>144781</xdr:rowOff>
    </xdr:to>
    <xdr:sp macro="" textlink="">
      <xdr:nvSpPr>
        <xdr:cNvPr id="61" name="Isosceles Triangle 60">
          <a:extLst>
            <a:ext uri="{FF2B5EF4-FFF2-40B4-BE49-F238E27FC236}">
              <a16:creationId xmlns:a16="http://schemas.microsoft.com/office/drawing/2014/main" id="{46079154-4DC2-4634-B20E-5108A76BDE15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81</xdr:row>
      <xdr:rowOff>26247</xdr:rowOff>
    </xdr:from>
    <xdr:to>
      <xdr:col>7</xdr:col>
      <xdr:colOff>387774</xdr:colOff>
      <xdr:row>81</xdr:row>
      <xdr:rowOff>144781</xdr:rowOff>
    </xdr:to>
    <xdr:sp macro="" textlink="">
      <xdr:nvSpPr>
        <xdr:cNvPr id="62" name="Isosceles Triangle 61">
          <a:extLst>
            <a:ext uri="{FF2B5EF4-FFF2-40B4-BE49-F238E27FC236}">
              <a16:creationId xmlns:a16="http://schemas.microsoft.com/office/drawing/2014/main" id="{E1ED21B0-3051-440F-A17B-BA81E6727F1F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81</xdr:row>
      <xdr:rowOff>26247</xdr:rowOff>
    </xdr:from>
    <xdr:to>
      <xdr:col>9</xdr:col>
      <xdr:colOff>379307</xdr:colOff>
      <xdr:row>81</xdr:row>
      <xdr:rowOff>144781</xdr:rowOff>
    </xdr:to>
    <xdr:sp macro="" textlink="">
      <xdr:nvSpPr>
        <xdr:cNvPr id="63" name="Isosceles Triangle 62">
          <a:extLst>
            <a:ext uri="{FF2B5EF4-FFF2-40B4-BE49-F238E27FC236}">
              <a16:creationId xmlns:a16="http://schemas.microsoft.com/office/drawing/2014/main" id="{2B099024-06A0-48CF-9E04-4D62D36425A0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81</xdr:row>
      <xdr:rowOff>26247</xdr:rowOff>
    </xdr:from>
    <xdr:to>
      <xdr:col>11</xdr:col>
      <xdr:colOff>387774</xdr:colOff>
      <xdr:row>81</xdr:row>
      <xdr:rowOff>144781</xdr:rowOff>
    </xdr:to>
    <xdr:sp macro="" textlink="">
      <xdr:nvSpPr>
        <xdr:cNvPr id="64" name="Isosceles Triangle 63">
          <a:extLst>
            <a:ext uri="{FF2B5EF4-FFF2-40B4-BE49-F238E27FC236}">
              <a16:creationId xmlns:a16="http://schemas.microsoft.com/office/drawing/2014/main" id="{B3E7A4FC-31BE-47C9-B811-8314A435F8F9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77</xdr:row>
      <xdr:rowOff>26247</xdr:rowOff>
    </xdr:from>
    <xdr:to>
      <xdr:col>7</xdr:col>
      <xdr:colOff>387774</xdr:colOff>
      <xdr:row>77</xdr:row>
      <xdr:rowOff>144781</xdr:rowOff>
    </xdr:to>
    <xdr:sp macro="" textlink="">
      <xdr:nvSpPr>
        <xdr:cNvPr id="77" name="Isosceles Triangle 76">
          <a:extLst>
            <a:ext uri="{FF2B5EF4-FFF2-40B4-BE49-F238E27FC236}">
              <a16:creationId xmlns:a16="http://schemas.microsoft.com/office/drawing/2014/main" id="{0FF358DA-E054-4F55-872F-70FAF06D27EC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77</xdr:row>
      <xdr:rowOff>26247</xdr:rowOff>
    </xdr:from>
    <xdr:to>
      <xdr:col>9</xdr:col>
      <xdr:colOff>379307</xdr:colOff>
      <xdr:row>77</xdr:row>
      <xdr:rowOff>144781</xdr:rowOff>
    </xdr:to>
    <xdr:sp macro="" textlink="">
      <xdr:nvSpPr>
        <xdr:cNvPr id="78" name="Isosceles Triangle 77">
          <a:extLst>
            <a:ext uri="{FF2B5EF4-FFF2-40B4-BE49-F238E27FC236}">
              <a16:creationId xmlns:a16="http://schemas.microsoft.com/office/drawing/2014/main" id="{76E64465-5F3B-44F6-AA1F-46EC28172C73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77</xdr:row>
      <xdr:rowOff>26247</xdr:rowOff>
    </xdr:from>
    <xdr:to>
      <xdr:col>11</xdr:col>
      <xdr:colOff>387774</xdr:colOff>
      <xdr:row>77</xdr:row>
      <xdr:rowOff>144781</xdr:rowOff>
    </xdr:to>
    <xdr:sp macro="" textlink="">
      <xdr:nvSpPr>
        <xdr:cNvPr id="79" name="Isosceles Triangle 78">
          <a:extLst>
            <a:ext uri="{FF2B5EF4-FFF2-40B4-BE49-F238E27FC236}">
              <a16:creationId xmlns:a16="http://schemas.microsoft.com/office/drawing/2014/main" id="{579B0297-5358-4CAC-81A2-E91E3354AFE6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17</xdr:row>
      <xdr:rowOff>26247</xdr:rowOff>
    </xdr:from>
    <xdr:to>
      <xdr:col>7</xdr:col>
      <xdr:colOff>387774</xdr:colOff>
      <xdr:row>17</xdr:row>
      <xdr:rowOff>144781</xdr:rowOff>
    </xdr:to>
    <xdr:sp macro="" textlink="">
      <xdr:nvSpPr>
        <xdr:cNvPr id="83" name="Isosceles Triangle 82">
          <a:extLst>
            <a:ext uri="{FF2B5EF4-FFF2-40B4-BE49-F238E27FC236}">
              <a16:creationId xmlns:a16="http://schemas.microsoft.com/office/drawing/2014/main" id="{9B512F77-2AAA-4C53-938F-8D3525BF9071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17</xdr:row>
      <xdr:rowOff>26247</xdr:rowOff>
    </xdr:from>
    <xdr:to>
      <xdr:col>9</xdr:col>
      <xdr:colOff>379307</xdr:colOff>
      <xdr:row>17</xdr:row>
      <xdr:rowOff>144781</xdr:rowOff>
    </xdr:to>
    <xdr:sp macro="" textlink="">
      <xdr:nvSpPr>
        <xdr:cNvPr id="84" name="Isosceles Triangle 83">
          <a:extLst>
            <a:ext uri="{FF2B5EF4-FFF2-40B4-BE49-F238E27FC236}">
              <a16:creationId xmlns:a16="http://schemas.microsoft.com/office/drawing/2014/main" id="{59F7DB97-742A-4E1C-948A-109067597371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17</xdr:row>
      <xdr:rowOff>26247</xdr:rowOff>
    </xdr:from>
    <xdr:to>
      <xdr:col>11</xdr:col>
      <xdr:colOff>387774</xdr:colOff>
      <xdr:row>17</xdr:row>
      <xdr:rowOff>144781</xdr:rowOff>
    </xdr:to>
    <xdr:sp macro="" textlink="">
      <xdr:nvSpPr>
        <xdr:cNvPr id="85" name="Isosceles Triangle 84">
          <a:extLst>
            <a:ext uri="{FF2B5EF4-FFF2-40B4-BE49-F238E27FC236}">
              <a16:creationId xmlns:a16="http://schemas.microsoft.com/office/drawing/2014/main" id="{03A9A996-B340-44C0-96C7-558BC65DF050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73</xdr:row>
      <xdr:rowOff>26247</xdr:rowOff>
    </xdr:from>
    <xdr:to>
      <xdr:col>7</xdr:col>
      <xdr:colOff>387774</xdr:colOff>
      <xdr:row>73</xdr:row>
      <xdr:rowOff>144781</xdr:rowOff>
    </xdr:to>
    <xdr:sp macro="" textlink="">
      <xdr:nvSpPr>
        <xdr:cNvPr id="2" name="Isosceles Triangle 1">
          <a:extLst>
            <a:ext uri="{FF2B5EF4-FFF2-40B4-BE49-F238E27FC236}">
              <a16:creationId xmlns:a16="http://schemas.microsoft.com/office/drawing/2014/main" id="{9F9CF1CC-B1D9-4755-BF7D-854F6E649FA0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73</xdr:row>
      <xdr:rowOff>26247</xdr:rowOff>
    </xdr:from>
    <xdr:to>
      <xdr:col>9</xdr:col>
      <xdr:colOff>379307</xdr:colOff>
      <xdr:row>73</xdr:row>
      <xdr:rowOff>144781</xdr:rowOff>
    </xdr:to>
    <xdr:sp macro="" textlink="">
      <xdr:nvSpPr>
        <xdr:cNvPr id="3" name="Isosceles Triangle 2">
          <a:extLst>
            <a:ext uri="{FF2B5EF4-FFF2-40B4-BE49-F238E27FC236}">
              <a16:creationId xmlns:a16="http://schemas.microsoft.com/office/drawing/2014/main" id="{603DC2B0-DE06-49DE-ABF4-4D8F43605D18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73</xdr:row>
      <xdr:rowOff>26247</xdr:rowOff>
    </xdr:from>
    <xdr:to>
      <xdr:col>11</xdr:col>
      <xdr:colOff>387774</xdr:colOff>
      <xdr:row>73</xdr:row>
      <xdr:rowOff>144781</xdr:rowOff>
    </xdr:to>
    <xdr:sp macro="" textlink="">
      <xdr:nvSpPr>
        <xdr:cNvPr id="4" name="Isosceles Triangle 3">
          <a:extLst>
            <a:ext uri="{FF2B5EF4-FFF2-40B4-BE49-F238E27FC236}">
              <a16:creationId xmlns:a16="http://schemas.microsoft.com/office/drawing/2014/main" id="{1C0972F3-8CDC-4D97-9EAD-B80E78D52971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69</xdr:row>
      <xdr:rowOff>26247</xdr:rowOff>
    </xdr:from>
    <xdr:to>
      <xdr:col>7</xdr:col>
      <xdr:colOff>387774</xdr:colOff>
      <xdr:row>69</xdr:row>
      <xdr:rowOff>144781</xdr:rowOff>
    </xdr:to>
    <xdr:sp macro="" textlink="">
      <xdr:nvSpPr>
        <xdr:cNvPr id="5" name="Isosceles Triangle 4">
          <a:extLst>
            <a:ext uri="{FF2B5EF4-FFF2-40B4-BE49-F238E27FC236}">
              <a16:creationId xmlns:a16="http://schemas.microsoft.com/office/drawing/2014/main" id="{A5840FB3-E78D-4B87-8EE5-171E25F9A9DA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69</xdr:row>
      <xdr:rowOff>26247</xdr:rowOff>
    </xdr:from>
    <xdr:to>
      <xdr:col>9</xdr:col>
      <xdr:colOff>379307</xdr:colOff>
      <xdr:row>69</xdr:row>
      <xdr:rowOff>144781</xdr:rowOff>
    </xdr:to>
    <xdr:sp macro="" textlink="">
      <xdr:nvSpPr>
        <xdr:cNvPr id="6" name="Isosceles Triangle 5">
          <a:extLst>
            <a:ext uri="{FF2B5EF4-FFF2-40B4-BE49-F238E27FC236}">
              <a16:creationId xmlns:a16="http://schemas.microsoft.com/office/drawing/2014/main" id="{A541B0B8-7713-4F16-9163-F42F790D5E26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69</xdr:row>
      <xdr:rowOff>26247</xdr:rowOff>
    </xdr:from>
    <xdr:to>
      <xdr:col>11</xdr:col>
      <xdr:colOff>387774</xdr:colOff>
      <xdr:row>69</xdr:row>
      <xdr:rowOff>144781</xdr:rowOff>
    </xdr:to>
    <xdr:sp macro="" textlink="">
      <xdr:nvSpPr>
        <xdr:cNvPr id="7" name="Isosceles Triangle 6">
          <a:extLst>
            <a:ext uri="{FF2B5EF4-FFF2-40B4-BE49-F238E27FC236}">
              <a16:creationId xmlns:a16="http://schemas.microsoft.com/office/drawing/2014/main" id="{E7D0B745-B352-47D9-B3B7-03511803D928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65</xdr:row>
      <xdr:rowOff>26247</xdr:rowOff>
    </xdr:from>
    <xdr:to>
      <xdr:col>7</xdr:col>
      <xdr:colOff>387774</xdr:colOff>
      <xdr:row>65</xdr:row>
      <xdr:rowOff>144781</xdr:rowOff>
    </xdr:to>
    <xdr:sp macro="" textlink="">
      <xdr:nvSpPr>
        <xdr:cNvPr id="8" name="Isosceles Triangle 7">
          <a:extLst>
            <a:ext uri="{FF2B5EF4-FFF2-40B4-BE49-F238E27FC236}">
              <a16:creationId xmlns:a16="http://schemas.microsoft.com/office/drawing/2014/main" id="{5B94E158-DD8C-4651-BB53-6453F48ECF86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65</xdr:row>
      <xdr:rowOff>26247</xdr:rowOff>
    </xdr:from>
    <xdr:to>
      <xdr:col>9</xdr:col>
      <xdr:colOff>379307</xdr:colOff>
      <xdr:row>65</xdr:row>
      <xdr:rowOff>144781</xdr:rowOff>
    </xdr:to>
    <xdr:sp macro="" textlink="">
      <xdr:nvSpPr>
        <xdr:cNvPr id="9" name="Isosceles Triangle 8">
          <a:extLst>
            <a:ext uri="{FF2B5EF4-FFF2-40B4-BE49-F238E27FC236}">
              <a16:creationId xmlns:a16="http://schemas.microsoft.com/office/drawing/2014/main" id="{BF58CE63-773F-4EEC-B9CF-7167EE8647F1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65</xdr:row>
      <xdr:rowOff>26247</xdr:rowOff>
    </xdr:from>
    <xdr:to>
      <xdr:col>11</xdr:col>
      <xdr:colOff>387774</xdr:colOff>
      <xdr:row>65</xdr:row>
      <xdr:rowOff>144781</xdr:rowOff>
    </xdr:to>
    <xdr:sp macro="" textlink="">
      <xdr:nvSpPr>
        <xdr:cNvPr id="10" name="Isosceles Triangle 9">
          <a:extLst>
            <a:ext uri="{FF2B5EF4-FFF2-40B4-BE49-F238E27FC236}">
              <a16:creationId xmlns:a16="http://schemas.microsoft.com/office/drawing/2014/main" id="{82FB3CDB-CDD0-49E8-AE6C-89B82E89E7C1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61</xdr:row>
      <xdr:rowOff>26247</xdr:rowOff>
    </xdr:from>
    <xdr:to>
      <xdr:col>7</xdr:col>
      <xdr:colOff>387774</xdr:colOff>
      <xdr:row>61</xdr:row>
      <xdr:rowOff>144781</xdr:rowOff>
    </xdr:to>
    <xdr:sp macro="" textlink="">
      <xdr:nvSpPr>
        <xdr:cNvPr id="11" name="Isosceles Triangle 10">
          <a:extLst>
            <a:ext uri="{FF2B5EF4-FFF2-40B4-BE49-F238E27FC236}">
              <a16:creationId xmlns:a16="http://schemas.microsoft.com/office/drawing/2014/main" id="{10565768-9880-4F36-BF2B-FB5BAED995A6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61</xdr:row>
      <xdr:rowOff>26247</xdr:rowOff>
    </xdr:from>
    <xdr:to>
      <xdr:col>9</xdr:col>
      <xdr:colOff>379307</xdr:colOff>
      <xdr:row>61</xdr:row>
      <xdr:rowOff>144781</xdr:rowOff>
    </xdr:to>
    <xdr:sp macro="" textlink="">
      <xdr:nvSpPr>
        <xdr:cNvPr id="12" name="Isosceles Triangle 11">
          <a:extLst>
            <a:ext uri="{FF2B5EF4-FFF2-40B4-BE49-F238E27FC236}">
              <a16:creationId xmlns:a16="http://schemas.microsoft.com/office/drawing/2014/main" id="{9665ED7B-3BC7-4A2D-B4F3-9DC462B31E99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61</xdr:row>
      <xdr:rowOff>26247</xdr:rowOff>
    </xdr:from>
    <xdr:to>
      <xdr:col>11</xdr:col>
      <xdr:colOff>387774</xdr:colOff>
      <xdr:row>61</xdr:row>
      <xdr:rowOff>144781</xdr:rowOff>
    </xdr:to>
    <xdr:sp macro="" textlink="">
      <xdr:nvSpPr>
        <xdr:cNvPr id="13" name="Isosceles Triangle 12">
          <a:extLst>
            <a:ext uri="{FF2B5EF4-FFF2-40B4-BE49-F238E27FC236}">
              <a16:creationId xmlns:a16="http://schemas.microsoft.com/office/drawing/2014/main" id="{D05E81DF-F8E0-4061-BE2A-6ADC47681E2C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25</xdr:row>
      <xdr:rowOff>26247</xdr:rowOff>
    </xdr:from>
    <xdr:to>
      <xdr:col>7</xdr:col>
      <xdr:colOff>387774</xdr:colOff>
      <xdr:row>25</xdr:row>
      <xdr:rowOff>144781</xdr:rowOff>
    </xdr:to>
    <xdr:sp macro="" textlink="">
      <xdr:nvSpPr>
        <xdr:cNvPr id="14" name="Isosceles Triangle 13">
          <a:extLst>
            <a:ext uri="{FF2B5EF4-FFF2-40B4-BE49-F238E27FC236}">
              <a16:creationId xmlns:a16="http://schemas.microsoft.com/office/drawing/2014/main" id="{2082D9A3-DC4C-46EE-9A61-9D0DB57AB082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25</xdr:row>
      <xdr:rowOff>26247</xdr:rowOff>
    </xdr:from>
    <xdr:to>
      <xdr:col>9</xdr:col>
      <xdr:colOff>379307</xdr:colOff>
      <xdr:row>25</xdr:row>
      <xdr:rowOff>144781</xdr:rowOff>
    </xdr:to>
    <xdr:sp macro="" textlink="">
      <xdr:nvSpPr>
        <xdr:cNvPr id="15" name="Isosceles Triangle 14">
          <a:extLst>
            <a:ext uri="{FF2B5EF4-FFF2-40B4-BE49-F238E27FC236}">
              <a16:creationId xmlns:a16="http://schemas.microsoft.com/office/drawing/2014/main" id="{0D2961C0-5467-4C12-BC96-22FD5747F3B0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25</xdr:row>
      <xdr:rowOff>26247</xdr:rowOff>
    </xdr:from>
    <xdr:to>
      <xdr:col>11</xdr:col>
      <xdr:colOff>387774</xdr:colOff>
      <xdr:row>25</xdr:row>
      <xdr:rowOff>144781</xdr:rowOff>
    </xdr:to>
    <xdr:sp macro="" textlink="">
      <xdr:nvSpPr>
        <xdr:cNvPr id="16" name="Isosceles Triangle 15">
          <a:extLst>
            <a:ext uri="{FF2B5EF4-FFF2-40B4-BE49-F238E27FC236}">
              <a16:creationId xmlns:a16="http://schemas.microsoft.com/office/drawing/2014/main" id="{84493700-E866-445A-9589-DAB15F3D62BA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57</xdr:row>
      <xdr:rowOff>26247</xdr:rowOff>
    </xdr:from>
    <xdr:to>
      <xdr:col>7</xdr:col>
      <xdr:colOff>387774</xdr:colOff>
      <xdr:row>57</xdr:row>
      <xdr:rowOff>144781</xdr:rowOff>
    </xdr:to>
    <xdr:sp macro="" textlink="">
      <xdr:nvSpPr>
        <xdr:cNvPr id="17" name="Isosceles Triangle 16">
          <a:extLst>
            <a:ext uri="{FF2B5EF4-FFF2-40B4-BE49-F238E27FC236}">
              <a16:creationId xmlns:a16="http://schemas.microsoft.com/office/drawing/2014/main" id="{C6F34450-35CD-47C6-AB41-EE0D926CA2D9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57</xdr:row>
      <xdr:rowOff>26247</xdr:rowOff>
    </xdr:from>
    <xdr:to>
      <xdr:col>9</xdr:col>
      <xdr:colOff>379307</xdr:colOff>
      <xdr:row>57</xdr:row>
      <xdr:rowOff>144781</xdr:rowOff>
    </xdr:to>
    <xdr:sp macro="" textlink="">
      <xdr:nvSpPr>
        <xdr:cNvPr id="18" name="Isosceles Triangle 17">
          <a:extLst>
            <a:ext uri="{FF2B5EF4-FFF2-40B4-BE49-F238E27FC236}">
              <a16:creationId xmlns:a16="http://schemas.microsoft.com/office/drawing/2014/main" id="{0798AA4E-7A36-4E6A-BD70-AEFC8D0F981B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57</xdr:row>
      <xdr:rowOff>26247</xdr:rowOff>
    </xdr:from>
    <xdr:to>
      <xdr:col>11</xdr:col>
      <xdr:colOff>387774</xdr:colOff>
      <xdr:row>57</xdr:row>
      <xdr:rowOff>144781</xdr:rowOff>
    </xdr:to>
    <xdr:sp macro="" textlink="">
      <xdr:nvSpPr>
        <xdr:cNvPr id="19" name="Isosceles Triangle 18">
          <a:extLst>
            <a:ext uri="{FF2B5EF4-FFF2-40B4-BE49-F238E27FC236}">
              <a16:creationId xmlns:a16="http://schemas.microsoft.com/office/drawing/2014/main" id="{41701E64-DF0F-4313-BCDA-851D29A65B92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53</xdr:row>
      <xdr:rowOff>26247</xdr:rowOff>
    </xdr:from>
    <xdr:to>
      <xdr:col>7</xdr:col>
      <xdr:colOff>387774</xdr:colOff>
      <xdr:row>53</xdr:row>
      <xdr:rowOff>144781</xdr:rowOff>
    </xdr:to>
    <xdr:sp macro="" textlink="">
      <xdr:nvSpPr>
        <xdr:cNvPr id="20" name="Isosceles Triangle 19">
          <a:extLst>
            <a:ext uri="{FF2B5EF4-FFF2-40B4-BE49-F238E27FC236}">
              <a16:creationId xmlns:a16="http://schemas.microsoft.com/office/drawing/2014/main" id="{D1AED7F6-D029-47A2-B72F-62C0073AC243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53</xdr:row>
      <xdr:rowOff>26247</xdr:rowOff>
    </xdr:from>
    <xdr:to>
      <xdr:col>9</xdr:col>
      <xdr:colOff>379307</xdr:colOff>
      <xdr:row>53</xdr:row>
      <xdr:rowOff>144781</xdr:rowOff>
    </xdr:to>
    <xdr:sp macro="" textlink="">
      <xdr:nvSpPr>
        <xdr:cNvPr id="21" name="Isosceles Triangle 20">
          <a:extLst>
            <a:ext uri="{FF2B5EF4-FFF2-40B4-BE49-F238E27FC236}">
              <a16:creationId xmlns:a16="http://schemas.microsoft.com/office/drawing/2014/main" id="{DC676B88-925B-4BCA-8125-C98C71E7D6EC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53</xdr:row>
      <xdr:rowOff>26247</xdr:rowOff>
    </xdr:from>
    <xdr:to>
      <xdr:col>11</xdr:col>
      <xdr:colOff>387774</xdr:colOff>
      <xdr:row>53</xdr:row>
      <xdr:rowOff>144781</xdr:rowOff>
    </xdr:to>
    <xdr:sp macro="" textlink="">
      <xdr:nvSpPr>
        <xdr:cNvPr id="22" name="Isosceles Triangle 21">
          <a:extLst>
            <a:ext uri="{FF2B5EF4-FFF2-40B4-BE49-F238E27FC236}">
              <a16:creationId xmlns:a16="http://schemas.microsoft.com/office/drawing/2014/main" id="{034FB579-892E-4E6F-A5AA-6DE4E1EFE0BC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21</xdr:row>
      <xdr:rowOff>26247</xdr:rowOff>
    </xdr:from>
    <xdr:to>
      <xdr:col>7</xdr:col>
      <xdr:colOff>387774</xdr:colOff>
      <xdr:row>21</xdr:row>
      <xdr:rowOff>144781</xdr:rowOff>
    </xdr:to>
    <xdr:sp macro="" textlink="">
      <xdr:nvSpPr>
        <xdr:cNvPr id="23" name="Isosceles Triangle 22">
          <a:extLst>
            <a:ext uri="{FF2B5EF4-FFF2-40B4-BE49-F238E27FC236}">
              <a16:creationId xmlns:a16="http://schemas.microsoft.com/office/drawing/2014/main" id="{58C018F4-05BD-46C6-B328-9B860864240A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21</xdr:row>
      <xdr:rowOff>26247</xdr:rowOff>
    </xdr:from>
    <xdr:to>
      <xdr:col>9</xdr:col>
      <xdr:colOff>379307</xdr:colOff>
      <xdr:row>21</xdr:row>
      <xdr:rowOff>144781</xdr:rowOff>
    </xdr:to>
    <xdr:sp macro="" textlink="">
      <xdr:nvSpPr>
        <xdr:cNvPr id="24" name="Isosceles Triangle 23">
          <a:extLst>
            <a:ext uri="{FF2B5EF4-FFF2-40B4-BE49-F238E27FC236}">
              <a16:creationId xmlns:a16="http://schemas.microsoft.com/office/drawing/2014/main" id="{D89DEF46-5E10-467E-8ADD-CE0C469FFBA9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21</xdr:row>
      <xdr:rowOff>26247</xdr:rowOff>
    </xdr:from>
    <xdr:to>
      <xdr:col>11</xdr:col>
      <xdr:colOff>387774</xdr:colOff>
      <xdr:row>21</xdr:row>
      <xdr:rowOff>144781</xdr:rowOff>
    </xdr:to>
    <xdr:sp macro="" textlink="">
      <xdr:nvSpPr>
        <xdr:cNvPr id="25" name="Isosceles Triangle 24">
          <a:extLst>
            <a:ext uri="{FF2B5EF4-FFF2-40B4-BE49-F238E27FC236}">
              <a16:creationId xmlns:a16="http://schemas.microsoft.com/office/drawing/2014/main" id="{81E1F8E0-5FD3-49A3-9EF6-ED724A6307C5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13</xdr:row>
      <xdr:rowOff>26247</xdr:rowOff>
    </xdr:from>
    <xdr:to>
      <xdr:col>7</xdr:col>
      <xdr:colOff>387774</xdr:colOff>
      <xdr:row>13</xdr:row>
      <xdr:rowOff>144781</xdr:rowOff>
    </xdr:to>
    <xdr:sp macro="" textlink="">
      <xdr:nvSpPr>
        <xdr:cNvPr id="26" name="Isosceles Triangle 25">
          <a:extLst>
            <a:ext uri="{FF2B5EF4-FFF2-40B4-BE49-F238E27FC236}">
              <a16:creationId xmlns:a16="http://schemas.microsoft.com/office/drawing/2014/main" id="{3A1BFF44-873B-4710-B65F-F3CF4A593C5A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13</xdr:row>
      <xdr:rowOff>26247</xdr:rowOff>
    </xdr:from>
    <xdr:to>
      <xdr:col>9</xdr:col>
      <xdr:colOff>379307</xdr:colOff>
      <xdr:row>13</xdr:row>
      <xdr:rowOff>144781</xdr:rowOff>
    </xdr:to>
    <xdr:sp macro="" textlink="">
      <xdr:nvSpPr>
        <xdr:cNvPr id="27" name="Isosceles Triangle 26">
          <a:extLst>
            <a:ext uri="{FF2B5EF4-FFF2-40B4-BE49-F238E27FC236}">
              <a16:creationId xmlns:a16="http://schemas.microsoft.com/office/drawing/2014/main" id="{0A3E7375-4E60-40E0-8EED-D9073D2AEC73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13</xdr:row>
      <xdr:rowOff>26247</xdr:rowOff>
    </xdr:from>
    <xdr:to>
      <xdr:col>11</xdr:col>
      <xdr:colOff>387774</xdr:colOff>
      <xdr:row>13</xdr:row>
      <xdr:rowOff>144781</xdr:rowOff>
    </xdr:to>
    <xdr:sp macro="" textlink="">
      <xdr:nvSpPr>
        <xdr:cNvPr id="28" name="Isosceles Triangle 27">
          <a:extLst>
            <a:ext uri="{FF2B5EF4-FFF2-40B4-BE49-F238E27FC236}">
              <a16:creationId xmlns:a16="http://schemas.microsoft.com/office/drawing/2014/main" id="{2DAB0FD8-10C6-47F7-BDDD-BEE059585576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33</xdr:row>
      <xdr:rowOff>26247</xdr:rowOff>
    </xdr:from>
    <xdr:to>
      <xdr:col>7</xdr:col>
      <xdr:colOff>387774</xdr:colOff>
      <xdr:row>33</xdr:row>
      <xdr:rowOff>144781</xdr:rowOff>
    </xdr:to>
    <xdr:sp macro="" textlink="">
      <xdr:nvSpPr>
        <xdr:cNvPr id="29" name="Isosceles Triangle 28">
          <a:extLst>
            <a:ext uri="{FF2B5EF4-FFF2-40B4-BE49-F238E27FC236}">
              <a16:creationId xmlns:a16="http://schemas.microsoft.com/office/drawing/2014/main" id="{F594C2AF-9166-4D9D-8AE6-836F060EFCB2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33</xdr:row>
      <xdr:rowOff>26247</xdr:rowOff>
    </xdr:from>
    <xdr:to>
      <xdr:col>9</xdr:col>
      <xdr:colOff>379307</xdr:colOff>
      <xdr:row>33</xdr:row>
      <xdr:rowOff>144781</xdr:rowOff>
    </xdr:to>
    <xdr:sp macro="" textlink="">
      <xdr:nvSpPr>
        <xdr:cNvPr id="30" name="Isosceles Triangle 29">
          <a:extLst>
            <a:ext uri="{FF2B5EF4-FFF2-40B4-BE49-F238E27FC236}">
              <a16:creationId xmlns:a16="http://schemas.microsoft.com/office/drawing/2014/main" id="{321C322A-43CC-45A7-A989-8896AA082268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33</xdr:row>
      <xdr:rowOff>26247</xdr:rowOff>
    </xdr:from>
    <xdr:to>
      <xdr:col>11</xdr:col>
      <xdr:colOff>387774</xdr:colOff>
      <xdr:row>33</xdr:row>
      <xdr:rowOff>144781</xdr:rowOff>
    </xdr:to>
    <xdr:sp macro="" textlink="">
      <xdr:nvSpPr>
        <xdr:cNvPr id="31" name="Isosceles Triangle 30">
          <a:extLst>
            <a:ext uri="{FF2B5EF4-FFF2-40B4-BE49-F238E27FC236}">
              <a16:creationId xmlns:a16="http://schemas.microsoft.com/office/drawing/2014/main" id="{561A4BCC-097E-42C5-8601-1F52065B1D42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37</xdr:row>
      <xdr:rowOff>26247</xdr:rowOff>
    </xdr:from>
    <xdr:to>
      <xdr:col>7</xdr:col>
      <xdr:colOff>387774</xdr:colOff>
      <xdr:row>37</xdr:row>
      <xdr:rowOff>144781</xdr:rowOff>
    </xdr:to>
    <xdr:sp macro="" textlink="">
      <xdr:nvSpPr>
        <xdr:cNvPr id="32" name="Isosceles Triangle 31">
          <a:extLst>
            <a:ext uri="{FF2B5EF4-FFF2-40B4-BE49-F238E27FC236}">
              <a16:creationId xmlns:a16="http://schemas.microsoft.com/office/drawing/2014/main" id="{F6F7C58B-02B8-4D27-93D5-09EF037768DA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37</xdr:row>
      <xdr:rowOff>26247</xdr:rowOff>
    </xdr:from>
    <xdr:to>
      <xdr:col>9</xdr:col>
      <xdr:colOff>379307</xdr:colOff>
      <xdr:row>37</xdr:row>
      <xdr:rowOff>144781</xdr:rowOff>
    </xdr:to>
    <xdr:sp macro="" textlink="">
      <xdr:nvSpPr>
        <xdr:cNvPr id="33" name="Isosceles Triangle 32">
          <a:extLst>
            <a:ext uri="{FF2B5EF4-FFF2-40B4-BE49-F238E27FC236}">
              <a16:creationId xmlns:a16="http://schemas.microsoft.com/office/drawing/2014/main" id="{2B1C2322-784D-4F63-87E4-8497F7161425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37</xdr:row>
      <xdr:rowOff>26247</xdr:rowOff>
    </xdr:from>
    <xdr:to>
      <xdr:col>11</xdr:col>
      <xdr:colOff>387774</xdr:colOff>
      <xdr:row>37</xdr:row>
      <xdr:rowOff>144781</xdr:rowOff>
    </xdr:to>
    <xdr:sp macro="" textlink="">
      <xdr:nvSpPr>
        <xdr:cNvPr id="34" name="Isosceles Triangle 33">
          <a:extLst>
            <a:ext uri="{FF2B5EF4-FFF2-40B4-BE49-F238E27FC236}">
              <a16:creationId xmlns:a16="http://schemas.microsoft.com/office/drawing/2014/main" id="{4A0D643F-92F2-4DBD-BC68-8F52976E26B1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29</xdr:row>
      <xdr:rowOff>26247</xdr:rowOff>
    </xdr:from>
    <xdr:to>
      <xdr:col>7</xdr:col>
      <xdr:colOff>387774</xdr:colOff>
      <xdr:row>29</xdr:row>
      <xdr:rowOff>144781</xdr:rowOff>
    </xdr:to>
    <xdr:sp macro="" textlink="">
      <xdr:nvSpPr>
        <xdr:cNvPr id="35" name="Isosceles Triangle 34">
          <a:extLst>
            <a:ext uri="{FF2B5EF4-FFF2-40B4-BE49-F238E27FC236}">
              <a16:creationId xmlns:a16="http://schemas.microsoft.com/office/drawing/2014/main" id="{ED2F7CBF-3801-403F-B8E8-04CE25BA7A40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29</xdr:row>
      <xdr:rowOff>26247</xdr:rowOff>
    </xdr:from>
    <xdr:to>
      <xdr:col>9</xdr:col>
      <xdr:colOff>379307</xdr:colOff>
      <xdr:row>29</xdr:row>
      <xdr:rowOff>144781</xdr:rowOff>
    </xdr:to>
    <xdr:sp macro="" textlink="">
      <xdr:nvSpPr>
        <xdr:cNvPr id="36" name="Isosceles Triangle 35">
          <a:extLst>
            <a:ext uri="{FF2B5EF4-FFF2-40B4-BE49-F238E27FC236}">
              <a16:creationId xmlns:a16="http://schemas.microsoft.com/office/drawing/2014/main" id="{6D8C6DB3-D18A-4664-9B0B-E75BB0F2546C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29</xdr:row>
      <xdr:rowOff>26247</xdr:rowOff>
    </xdr:from>
    <xdr:to>
      <xdr:col>11</xdr:col>
      <xdr:colOff>387774</xdr:colOff>
      <xdr:row>29</xdr:row>
      <xdr:rowOff>144781</xdr:rowOff>
    </xdr:to>
    <xdr:sp macro="" textlink="">
      <xdr:nvSpPr>
        <xdr:cNvPr id="37" name="Isosceles Triangle 36">
          <a:extLst>
            <a:ext uri="{FF2B5EF4-FFF2-40B4-BE49-F238E27FC236}">
              <a16:creationId xmlns:a16="http://schemas.microsoft.com/office/drawing/2014/main" id="{BF6B278C-A9BA-4A0D-8B92-B0F912215804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49</xdr:row>
      <xdr:rowOff>26247</xdr:rowOff>
    </xdr:from>
    <xdr:to>
      <xdr:col>7</xdr:col>
      <xdr:colOff>387774</xdr:colOff>
      <xdr:row>49</xdr:row>
      <xdr:rowOff>144781</xdr:rowOff>
    </xdr:to>
    <xdr:sp macro="" textlink="">
      <xdr:nvSpPr>
        <xdr:cNvPr id="38" name="Isosceles Triangle 37">
          <a:extLst>
            <a:ext uri="{FF2B5EF4-FFF2-40B4-BE49-F238E27FC236}">
              <a16:creationId xmlns:a16="http://schemas.microsoft.com/office/drawing/2014/main" id="{E7526CD5-A7AB-44A1-9EF0-B12F8B1D0E12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49</xdr:row>
      <xdr:rowOff>26247</xdr:rowOff>
    </xdr:from>
    <xdr:to>
      <xdr:col>9</xdr:col>
      <xdr:colOff>379307</xdr:colOff>
      <xdr:row>49</xdr:row>
      <xdr:rowOff>144781</xdr:rowOff>
    </xdr:to>
    <xdr:sp macro="" textlink="">
      <xdr:nvSpPr>
        <xdr:cNvPr id="39" name="Isosceles Triangle 38">
          <a:extLst>
            <a:ext uri="{FF2B5EF4-FFF2-40B4-BE49-F238E27FC236}">
              <a16:creationId xmlns:a16="http://schemas.microsoft.com/office/drawing/2014/main" id="{695AA0D7-0F3E-4ECE-962D-05A29D56BE39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49</xdr:row>
      <xdr:rowOff>26247</xdr:rowOff>
    </xdr:from>
    <xdr:to>
      <xdr:col>11</xdr:col>
      <xdr:colOff>387774</xdr:colOff>
      <xdr:row>49</xdr:row>
      <xdr:rowOff>144781</xdr:rowOff>
    </xdr:to>
    <xdr:sp macro="" textlink="">
      <xdr:nvSpPr>
        <xdr:cNvPr id="40" name="Isosceles Triangle 39">
          <a:extLst>
            <a:ext uri="{FF2B5EF4-FFF2-40B4-BE49-F238E27FC236}">
              <a16:creationId xmlns:a16="http://schemas.microsoft.com/office/drawing/2014/main" id="{006F5D69-DF16-40EC-867A-A4A75B76164C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45</xdr:row>
      <xdr:rowOff>26247</xdr:rowOff>
    </xdr:from>
    <xdr:to>
      <xdr:col>7</xdr:col>
      <xdr:colOff>387774</xdr:colOff>
      <xdr:row>45</xdr:row>
      <xdr:rowOff>144781</xdr:rowOff>
    </xdr:to>
    <xdr:sp macro="" textlink="">
      <xdr:nvSpPr>
        <xdr:cNvPr id="41" name="Isosceles Triangle 40">
          <a:extLst>
            <a:ext uri="{FF2B5EF4-FFF2-40B4-BE49-F238E27FC236}">
              <a16:creationId xmlns:a16="http://schemas.microsoft.com/office/drawing/2014/main" id="{8484BA55-4205-4FCA-93AC-B28E2E4D8F38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45</xdr:row>
      <xdr:rowOff>26247</xdr:rowOff>
    </xdr:from>
    <xdr:to>
      <xdr:col>9</xdr:col>
      <xdr:colOff>379307</xdr:colOff>
      <xdr:row>45</xdr:row>
      <xdr:rowOff>144781</xdr:rowOff>
    </xdr:to>
    <xdr:sp macro="" textlink="">
      <xdr:nvSpPr>
        <xdr:cNvPr id="42" name="Isosceles Triangle 41">
          <a:extLst>
            <a:ext uri="{FF2B5EF4-FFF2-40B4-BE49-F238E27FC236}">
              <a16:creationId xmlns:a16="http://schemas.microsoft.com/office/drawing/2014/main" id="{FAA7163A-4330-40AD-9A20-E1DE29194916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45</xdr:row>
      <xdr:rowOff>26247</xdr:rowOff>
    </xdr:from>
    <xdr:to>
      <xdr:col>11</xdr:col>
      <xdr:colOff>387774</xdr:colOff>
      <xdr:row>45</xdr:row>
      <xdr:rowOff>144781</xdr:rowOff>
    </xdr:to>
    <xdr:sp macro="" textlink="">
      <xdr:nvSpPr>
        <xdr:cNvPr id="43" name="Isosceles Triangle 42">
          <a:extLst>
            <a:ext uri="{FF2B5EF4-FFF2-40B4-BE49-F238E27FC236}">
              <a16:creationId xmlns:a16="http://schemas.microsoft.com/office/drawing/2014/main" id="{191A4BD4-95AE-481D-9BC9-BD98DA3EC995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41</xdr:row>
      <xdr:rowOff>26247</xdr:rowOff>
    </xdr:from>
    <xdr:to>
      <xdr:col>7</xdr:col>
      <xdr:colOff>387774</xdr:colOff>
      <xdr:row>41</xdr:row>
      <xdr:rowOff>144781</xdr:rowOff>
    </xdr:to>
    <xdr:sp macro="" textlink="">
      <xdr:nvSpPr>
        <xdr:cNvPr id="44" name="Isosceles Triangle 43">
          <a:extLst>
            <a:ext uri="{FF2B5EF4-FFF2-40B4-BE49-F238E27FC236}">
              <a16:creationId xmlns:a16="http://schemas.microsoft.com/office/drawing/2014/main" id="{42C5167C-0CBF-4C56-838A-77B77A96A47B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41</xdr:row>
      <xdr:rowOff>26247</xdr:rowOff>
    </xdr:from>
    <xdr:to>
      <xdr:col>9</xdr:col>
      <xdr:colOff>379307</xdr:colOff>
      <xdr:row>41</xdr:row>
      <xdr:rowOff>144781</xdr:rowOff>
    </xdr:to>
    <xdr:sp macro="" textlink="">
      <xdr:nvSpPr>
        <xdr:cNvPr id="45" name="Isosceles Triangle 44">
          <a:extLst>
            <a:ext uri="{FF2B5EF4-FFF2-40B4-BE49-F238E27FC236}">
              <a16:creationId xmlns:a16="http://schemas.microsoft.com/office/drawing/2014/main" id="{C0761F26-4F46-43CD-BA55-F9AC510CB3AF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41</xdr:row>
      <xdr:rowOff>26247</xdr:rowOff>
    </xdr:from>
    <xdr:to>
      <xdr:col>11</xdr:col>
      <xdr:colOff>387774</xdr:colOff>
      <xdr:row>41</xdr:row>
      <xdr:rowOff>144781</xdr:rowOff>
    </xdr:to>
    <xdr:sp macro="" textlink="">
      <xdr:nvSpPr>
        <xdr:cNvPr id="46" name="Isosceles Triangle 45">
          <a:extLst>
            <a:ext uri="{FF2B5EF4-FFF2-40B4-BE49-F238E27FC236}">
              <a16:creationId xmlns:a16="http://schemas.microsoft.com/office/drawing/2014/main" id="{434DD772-6BC3-4D4C-B1C1-ECC54A6D496A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9</xdr:row>
      <xdr:rowOff>26247</xdr:rowOff>
    </xdr:from>
    <xdr:to>
      <xdr:col>7</xdr:col>
      <xdr:colOff>387774</xdr:colOff>
      <xdr:row>9</xdr:row>
      <xdr:rowOff>144781</xdr:rowOff>
    </xdr:to>
    <xdr:sp macro="" textlink="">
      <xdr:nvSpPr>
        <xdr:cNvPr id="47" name="Isosceles Triangle 46">
          <a:extLst>
            <a:ext uri="{FF2B5EF4-FFF2-40B4-BE49-F238E27FC236}">
              <a16:creationId xmlns:a16="http://schemas.microsoft.com/office/drawing/2014/main" id="{8E85AE2A-61E2-4E88-ACFC-BB2B6A74DE0D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9</xdr:row>
      <xdr:rowOff>26247</xdr:rowOff>
    </xdr:from>
    <xdr:to>
      <xdr:col>9</xdr:col>
      <xdr:colOff>379307</xdr:colOff>
      <xdr:row>9</xdr:row>
      <xdr:rowOff>144781</xdr:rowOff>
    </xdr:to>
    <xdr:sp macro="" textlink="">
      <xdr:nvSpPr>
        <xdr:cNvPr id="48" name="Isosceles Triangle 47">
          <a:extLst>
            <a:ext uri="{FF2B5EF4-FFF2-40B4-BE49-F238E27FC236}">
              <a16:creationId xmlns:a16="http://schemas.microsoft.com/office/drawing/2014/main" id="{A149573A-E43B-454B-971E-DBC4BB681768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9</xdr:row>
      <xdr:rowOff>26247</xdr:rowOff>
    </xdr:from>
    <xdr:to>
      <xdr:col>11</xdr:col>
      <xdr:colOff>387774</xdr:colOff>
      <xdr:row>9</xdr:row>
      <xdr:rowOff>144781</xdr:rowOff>
    </xdr:to>
    <xdr:sp macro="" textlink="">
      <xdr:nvSpPr>
        <xdr:cNvPr id="49" name="Isosceles Triangle 48">
          <a:extLst>
            <a:ext uri="{FF2B5EF4-FFF2-40B4-BE49-F238E27FC236}">
              <a16:creationId xmlns:a16="http://schemas.microsoft.com/office/drawing/2014/main" id="{48B1A835-B748-4A45-A162-ABF28653983F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252307</xdr:colOff>
      <xdr:row>5</xdr:row>
      <xdr:rowOff>26247</xdr:rowOff>
    </xdr:from>
    <xdr:to>
      <xdr:col>7</xdr:col>
      <xdr:colOff>387774</xdr:colOff>
      <xdr:row>5</xdr:row>
      <xdr:rowOff>144781</xdr:rowOff>
    </xdr:to>
    <xdr:sp macro="" textlink="">
      <xdr:nvSpPr>
        <xdr:cNvPr id="50" name="Isosceles Triangle 49">
          <a:extLst>
            <a:ext uri="{FF2B5EF4-FFF2-40B4-BE49-F238E27FC236}">
              <a16:creationId xmlns:a16="http://schemas.microsoft.com/office/drawing/2014/main" id="{1C472458-53DC-4552-8A23-E30A6A3BCB71}"/>
            </a:ext>
          </a:extLst>
        </xdr:cNvPr>
        <xdr:cNvSpPr/>
      </xdr:nvSpPr>
      <xdr:spPr>
        <a:xfrm>
          <a:off x="66785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5</xdr:row>
      <xdr:rowOff>26247</xdr:rowOff>
    </xdr:from>
    <xdr:to>
      <xdr:col>9</xdr:col>
      <xdr:colOff>379307</xdr:colOff>
      <xdr:row>5</xdr:row>
      <xdr:rowOff>144781</xdr:rowOff>
    </xdr:to>
    <xdr:sp macro="" textlink="">
      <xdr:nvSpPr>
        <xdr:cNvPr id="51" name="Isosceles Triangle 50">
          <a:extLst>
            <a:ext uri="{FF2B5EF4-FFF2-40B4-BE49-F238E27FC236}">
              <a16:creationId xmlns:a16="http://schemas.microsoft.com/office/drawing/2014/main" id="{D985307F-974D-4A46-B818-2474DEAE92B3}"/>
            </a:ext>
          </a:extLst>
        </xdr:cNvPr>
        <xdr:cNvSpPr/>
      </xdr:nvSpPr>
      <xdr:spPr>
        <a:xfrm>
          <a:off x="7787640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5</xdr:row>
      <xdr:rowOff>26247</xdr:rowOff>
    </xdr:from>
    <xdr:to>
      <xdr:col>11</xdr:col>
      <xdr:colOff>387774</xdr:colOff>
      <xdr:row>5</xdr:row>
      <xdr:rowOff>144781</xdr:rowOff>
    </xdr:to>
    <xdr:sp macro="" textlink="">
      <xdr:nvSpPr>
        <xdr:cNvPr id="52" name="Isosceles Triangle 51">
          <a:extLst>
            <a:ext uri="{FF2B5EF4-FFF2-40B4-BE49-F238E27FC236}">
              <a16:creationId xmlns:a16="http://schemas.microsoft.com/office/drawing/2014/main" id="{9A9B947F-5A8B-475C-B77D-F50CC7EFAAEA}"/>
            </a:ext>
          </a:extLst>
        </xdr:cNvPr>
        <xdr:cNvSpPr/>
      </xdr:nvSpPr>
      <xdr:spPr>
        <a:xfrm>
          <a:off x="8913707" y="1426294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95841" name="Button 1" hidden="1">
              <a:extLst>
                <a:ext uri="{63B3BB69-23CF-44E3-9099-C40C66FF867C}">
                  <a14:compatExt spid="_x0000_s5795841"/>
                </a:ext>
                <a:ext uri="{FF2B5EF4-FFF2-40B4-BE49-F238E27FC236}">
                  <a16:creationId xmlns:a16="http://schemas.microsoft.com/office/drawing/2014/main" id="{00000000-0008-0000-0300-000001705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94817" name="Button 1" hidden="1">
              <a:extLst>
                <a:ext uri="{63B3BB69-23CF-44E3-9099-C40C66FF867C}">
                  <a14:compatExt spid="_x0000_s5794817"/>
                </a:ext>
                <a:ext uri="{FF2B5EF4-FFF2-40B4-BE49-F238E27FC236}">
                  <a16:creationId xmlns:a16="http://schemas.microsoft.com/office/drawing/2014/main" id="{00000000-0008-0000-0400-0000016C5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93793" name="Button 1" hidden="1">
              <a:extLst>
                <a:ext uri="{63B3BB69-23CF-44E3-9099-C40C66FF867C}">
                  <a14:compatExt spid="_x0000_s5793793"/>
                </a:ext>
                <a:ext uri="{FF2B5EF4-FFF2-40B4-BE49-F238E27FC236}">
                  <a16:creationId xmlns:a16="http://schemas.microsoft.com/office/drawing/2014/main" id="{00000000-0008-0000-0500-000001685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92769" name="Button 1" hidden="1">
              <a:extLst>
                <a:ext uri="{63B3BB69-23CF-44E3-9099-C40C66FF867C}">
                  <a14:compatExt spid="_x0000_s5792769"/>
                </a:ext>
                <a:ext uri="{FF2B5EF4-FFF2-40B4-BE49-F238E27FC236}">
                  <a16:creationId xmlns:a16="http://schemas.microsoft.com/office/drawing/2014/main" id="{00000000-0008-0000-0600-000001645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91745" name="Button 1" hidden="1">
              <a:extLst>
                <a:ext uri="{63B3BB69-23CF-44E3-9099-C40C66FF867C}">
                  <a14:compatExt spid="_x0000_s5791745"/>
                </a:ext>
                <a:ext uri="{FF2B5EF4-FFF2-40B4-BE49-F238E27FC236}">
                  <a16:creationId xmlns:a16="http://schemas.microsoft.com/office/drawing/2014/main" id="{00000000-0008-0000-0700-000001605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68193" name="Button 1" hidden="1">
              <a:extLst>
                <a:ext uri="{63B3BB69-23CF-44E3-9099-C40C66FF867C}">
                  <a14:compatExt spid="_x0000_s5768193"/>
                </a:ext>
                <a:ext uri="{FF2B5EF4-FFF2-40B4-BE49-F238E27FC236}">
                  <a16:creationId xmlns:a16="http://schemas.microsoft.com/office/drawing/2014/main" id="{00000000-0008-0000-0800-000001045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45665" name="Button 1" hidden="1">
              <a:extLst>
                <a:ext uri="{63B3BB69-23CF-44E3-9099-C40C66FF867C}">
                  <a14:compatExt spid="_x0000_s5745665"/>
                </a:ext>
                <a:ext uri="{FF2B5EF4-FFF2-40B4-BE49-F238E27FC236}">
                  <a16:creationId xmlns:a16="http://schemas.microsoft.com/office/drawing/2014/main" id="{00000000-0008-0000-0900-000001AC5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24161" name="Button 1" hidden="1">
              <a:extLst>
                <a:ext uri="{63B3BB69-23CF-44E3-9099-C40C66FF867C}">
                  <a14:compatExt spid="_x0000_s5724161"/>
                </a:ext>
                <a:ext uri="{FF2B5EF4-FFF2-40B4-BE49-F238E27FC236}">
                  <a16:creationId xmlns:a16="http://schemas.microsoft.com/office/drawing/2014/main" id="{00000000-0008-0000-0A00-000001585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23137" name="Button 1" hidden="1">
              <a:extLst>
                <a:ext uri="{63B3BB69-23CF-44E3-9099-C40C66FF867C}">
                  <a14:compatExt spid="_x0000_s5723137"/>
                </a:ext>
                <a:ext uri="{FF2B5EF4-FFF2-40B4-BE49-F238E27FC236}">
                  <a16:creationId xmlns:a16="http://schemas.microsoft.com/office/drawing/2014/main" id="{00000000-0008-0000-0B00-000001545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22113" name="Button 1" hidden="1">
              <a:extLst>
                <a:ext uri="{63B3BB69-23CF-44E3-9099-C40C66FF867C}">
                  <a14:compatExt spid="_x0000_s5722113"/>
                </a:ext>
                <a:ext uri="{FF2B5EF4-FFF2-40B4-BE49-F238E27FC236}">
                  <a16:creationId xmlns:a16="http://schemas.microsoft.com/office/drawing/2014/main" id="{00000000-0008-0000-0C00-000001505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21089" name="Button 1" hidden="1">
              <a:extLst>
                <a:ext uri="{63B3BB69-23CF-44E3-9099-C40C66FF867C}">
                  <a14:compatExt spid="_x0000_s5721089"/>
                </a:ext>
                <a:ext uri="{FF2B5EF4-FFF2-40B4-BE49-F238E27FC236}">
                  <a16:creationId xmlns:a16="http://schemas.microsoft.com/office/drawing/2014/main" id="{00000000-0008-0000-0D00-0000014C5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20065" name="Button 1" hidden="1">
              <a:extLst>
                <a:ext uri="{63B3BB69-23CF-44E3-9099-C40C66FF867C}">
                  <a14:compatExt spid="_x0000_s5720065"/>
                </a:ext>
                <a:ext uri="{FF2B5EF4-FFF2-40B4-BE49-F238E27FC236}">
                  <a16:creationId xmlns:a16="http://schemas.microsoft.com/office/drawing/2014/main" id="{00000000-0008-0000-0E00-000001485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19041" name="Button 1" hidden="1">
              <a:extLst>
                <a:ext uri="{63B3BB69-23CF-44E3-9099-C40C66FF867C}">
                  <a14:compatExt spid="_x0000_s5719041"/>
                </a:ext>
                <a:ext uri="{FF2B5EF4-FFF2-40B4-BE49-F238E27FC236}">
                  <a16:creationId xmlns:a16="http://schemas.microsoft.com/office/drawing/2014/main" id="{00000000-0008-0000-0F00-000001445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18017" name="Button 1" hidden="1">
              <a:extLst>
                <a:ext uri="{63B3BB69-23CF-44E3-9099-C40C66FF867C}">
                  <a14:compatExt spid="_x0000_s5718017"/>
                </a:ext>
                <a:ext uri="{FF2B5EF4-FFF2-40B4-BE49-F238E27FC236}">
                  <a16:creationId xmlns:a16="http://schemas.microsoft.com/office/drawing/2014/main" id="{00000000-0008-0000-1000-000001405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16993" name="Button 1" hidden="1">
              <a:extLst>
                <a:ext uri="{63B3BB69-23CF-44E3-9099-C40C66FF867C}">
                  <a14:compatExt spid="_x0000_s5716993"/>
                </a:ext>
                <a:ext uri="{FF2B5EF4-FFF2-40B4-BE49-F238E27FC236}">
                  <a16:creationId xmlns:a16="http://schemas.microsoft.com/office/drawing/2014/main" id="{00000000-0008-0000-1100-0000013C5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15969" name="Button 1" hidden="1">
              <a:extLst>
                <a:ext uri="{63B3BB69-23CF-44E3-9099-C40C66FF867C}">
                  <a14:compatExt spid="_x0000_s5715969"/>
                </a:ext>
                <a:ext uri="{FF2B5EF4-FFF2-40B4-BE49-F238E27FC236}">
                  <a16:creationId xmlns:a16="http://schemas.microsoft.com/office/drawing/2014/main" id="{00000000-0008-0000-1200-000001385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14945" name="Button 1" hidden="1">
              <a:extLst>
                <a:ext uri="{63B3BB69-23CF-44E3-9099-C40C66FF867C}">
                  <a14:compatExt spid="_x0000_s5714945"/>
                </a:ext>
                <a:ext uri="{FF2B5EF4-FFF2-40B4-BE49-F238E27FC236}">
                  <a16:creationId xmlns:a16="http://schemas.microsoft.com/office/drawing/2014/main" id="{00000000-0008-0000-1300-000001345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03681" name="Button 1" hidden="1">
              <a:extLst>
                <a:ext uri="{63B3BB69-23CF-44E3-9099-C40C66FF867C}">
                  <a14:compatExt spid="_x0000_s5703681"/>
                </a:ext>
                <a:ext uri="{FF2B5EF4-FFF2-40B4-BE49-F238E27FC236}">
                  <a16:creationId xmlns:a16="http://schemas.microsoft.com/office/drawing/2014/main" id="{00000000-0008-0000-1400-000001085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702657" name="Button 1" hidden="1">
              <a:extLst>
                <a:ext uri="{63B3BB69-23CF-44E3-9099-C40C66FF867C}">
                  <a14:compatExt spid="_x0000_s5702657"/>
                </a:ext>
                <a:ext uri="{FF2B5EF4-FFF2-40B4-BE49-F238E27FC236}">
                  <a16:creationId xmlns:a16="http://schemas.microsoft.com/office/drawing/2014/main" id="{00000000-0008-0000-1500-000001045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699585" name="Button 1" hidden="1">
              <a:extLst>
                <a:ext uri="{63B3BB69-23CF-44E3-9099-C40C66FF867C}">
                  <a14:compatExt spid="_x0000_s5699585"/>
                </a:ext>
                <a:ext uri="{FF2B5EF4-FFF2-40B4-BE49-F238E27FC236}">
                  <a16:creationId xmlns:a16="http://schemas.microsoft.com/office/drawing/2014/main" id="{00000000-0008-0000-1600-000001F85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698561" name="Button 1" hidden="1">
              <a:extLst>
                <a:ext uri="{63B3BB69-23CF-44E3-9099-C40C66FF867C}">
                  <a14:compatExt spid="_x0000_s5698561"/>
                </a:ext>
                <a:ext uri="{FF2B5EF4-FFF2-40B4-BE49-F238E27FC236}">
                  <a16:creationId xmlns:a16="http://schemas.microsoft.com/office/drawing/2014/main" id="{00000000-0008-0000-1700-000001F45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697537" name="Button 1" hidden="1">
              <a:extLst>
                <a:ext uri="{63B3BB69-23CF-44E3-9099-C40C66FF867C}">
                  <a14:compatExt spid="_x0000_s5697537"/>
                </a:ext>
                <a:ext uri="{FF2B5EF4-FFF2-40B4-BE49-F238E27FC236}">
                  <a16:creationId xmlns:a16="http://schemas.microsoft.com/office/drawing/2014/main" id="{00000000-0008-0000-1800-000001F05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5642241" name="Button 1" hidden="1">
              <a:extLst>
                <a:ext uri="{63B3BB69-23CF-44E3-9099-C40C66FF867C}">
                  <a14:compatExt spid="_x0000_s5642241"/>
                </a:ext>
                <a:ext uri="{FF2B5EF4-FFF2-40B4-BE49-F238E27FC236}">
                  <a16:creationId xmlns:a16="http://schemas.microsoft.com/office/drawing/2014/main" id="{00000000-0008-0000-1900-000001185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14</xdr:row>
          <xdr:rowOff>31750</xdr:rowOff>
        </xdr:from>
        <xdr:to>
          <xdr:col>1</xdr:col>
          <xdr:colOff>69850</xdr:colOff>
          <xdr:row>16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rebuchet MS"/>
                </a:rPr>
                <a:t>Add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14</xdr:row>
          <xdr:rowOff>31750</xdr:rowOff>
        </xdr:from>
        <xdr:to>
          <xdr:col>1</xdr:col>
          <xdr:colOff>1403350</xdr:colOff>
          <xdr:row>16</xdr:row>
          <xdr:rowOff>31750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A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rebuchet MS"/>
                </a:rPr>
                <a:t>Initialize 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1517650</xdr:colOff>
          <xdr:row>14</xdr:row>
          <xdr:rowOff>31750</xdr:rowOff>
        </xdr:from>
        <xdr:to>
          <xdr:col>2</xdr:col>
          <xdr:colOff>336550</xdr:colOff>
          <xdr:row>16</xdr:row>
          <xdr:rowOff>31750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1A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rebuchet MS"/>
                </a:rPr>
                <a:t>Delete Bad Ref.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17</xdr:row>
          <xdr:rowOff>0</xdr:rowOff>
        </xdr:from>
        <xdr:to>
          <xdr:col>1</xdr:col>
          <xdr:colOff>69850</xdr:colOff>
          <xdr:row>19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A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rebuchet MS"/>
                </a:rPr>
                <a:t>Delete Bad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184150</xdr:colOff>
          <xdr:row>17</xdr:row>
          <xdr:rowOff>31750</xdr:rowOff>
        </xdr:from>
        <xdr:to>
          <xdr:col>1</xdr:col>
          <xdr:colOff>1403350</xdr:colOff>
          <xdr:row>19</xdr:row>
          <xdr:rowOff>31750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1A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rebuchet MS"/>
                </a:rPr>
                <a:t>Daily Status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1517650</xdr:colOff>
          <xdr:row>16</xdr:row>
          <xdr:rowOff>184150</xdr:rowOff>
        </xdr:from>
        <xdr:to>
          <xdr:col>2</xdr:col>
          <xdr:colOff>336550</xdr:colOff>
          <xdr:row>18</xdr:row>
          <xdr:rowOff>184150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A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rebuchet MS"/>
                </a:rPr>
                <a:t>Dashboard Email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252307</xdr:colOff>
      <xdr:row>81</xdr:row>
      <xdr:rowOff>26247</xdr:rowOff>
    </xdr:from>
    <xdr:to>
      <xdr:col>7</xdr:col>
      <xdr:colOff>387774</xdr:colOff>
      <xdr:row>81</xdr:row>
      <xdr:rowOff>144781</xdr:rowOff>
    </xdr:to>
    <xdr:sp macro="" textlink="">
      <xdr:nvSpPr>
        <xdr:cNvPr id="14" name="Isosceles Triangle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SpPr/>
      </xdr:nvSpPr>
      <xdr:spPr>
        <a:xfrm>
          <a:off x="7255087" y="1520528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243840</xdr:colOff>
      <xdr:row>81</xdr:row>
      <xdr:rowOff>26247</xdr:rowOff>
    </xdr:from>
    <xdr:to>
      <xdr:col>9</xdr:col>
      <xdr:colOff>379307</xdr:colOff>
      <xdr:row>81</xdr:row>
      <xdr:rowOff>144781</xdr:rowOff>
    </xdr:to>
    <xdr:sp macro="" textlink="">
      <xdr:nvSpPr>
        <xdr:cNvPr id="15" name="Isosceles Triangle 14"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8465820" y="1520528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252307</xdr:colOff>
      <xdr:row>81</xdr:row>
      <xdr:rowOff>26247</xdr:rowOff>
    </xdr:from>
    <xdr:to>
      <xdr:col>11</xdr:col>
      <xdr:colOff>387774</xdr:colOff>
      <xdr:row>81</xdr:row>
      <xdr:rowOff>144781</xdr:rowOff>
    </xdr:to>
    <xdr:sp macro="" textlink="">
      <xdr:nvSpPr>
        <xdr:cNvPr id="16" name="Isosceles Triangle 15"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9693487" y="15205287"/>
          <a:ext cx="135467" cy="118534"/>
        </a:xfrm>
        <a:prstGeom prst="triangle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260350</xdr:colOff>
          <xdr:row>3</xdr:row>
          <xdr:rowOff>0</xdr:rowOff>
        </xdr:from>
        <xdr:to>
          <xdr:col>10</xdr:col>
          <xdr:colOff>260350</xdr:colOff>
          <xdr:row>4</xdr:row>
          <xdr:rowOff>222250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1B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Trebuchet MS"/>
                </a:rPr>
                <a:t>Import Daily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7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8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9.xml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3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mailto:boris.shapiro@cibc.com;" TargetMode="External"/><Relationship Id="rId2" Type="http://schemas.openxmlformats.org/officeDocument/2006/relationships/hyperlink" Target="mailto:boris.shapiro@cibc.com" TargetMode="External"/><Relationship Id="rId1" Type="http://schemas.openxmlformats.org/officeDocument/2006/relationships/hyperlink" Target="../../../../:f:/s/GRP-PBPTQAReleaseManagement/EsBKLs8W_Q1Dt8x9JxRPtVABkN1zA7wRtiJodFyEsxO6pA?e=JzljHY" TargetMode="External"/><Relationship Id="rId6" Type="http://schemas.openxmlformats.org/officeDocument/2006/relationships/printerSettings" Target="../printerSettings/printerSettings28.bin"/><Relationship Id="rId5" Type="http://schemas.openxmlformats.org/officeDocument/2006/relationships/hyperlink" Target="../../../../:u:/s/pbpt7/Education/EQTxZ-lx3glCnHOZMHaPvpcBOAlDYgkwPGDkUPN2syeUGg?e=JlOfKy" TargetMode="External"/><Relationship Id="rId4" Type="http://schemas.openxmlformats.org/officeDocument/2006/relationships/hyperlink" Target="../../../../:u:/s/pbpt7/Education/Eb0-j6KYdn5Do89btk-LC7gBd-3Hi0J28GOnx95XyOFHaQ?e=zgMGI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63634"/>
  </sheetPr>
  <dimension ref="A1:Z90"/>
  <sheetViews>
    <sheetView tabSelected="1" zoomScale="90" zoomScaleNormal="90" workbookViewId="0">
      <pane ySplit="2" topLeftCell="A15" activePane="bottomLeft" state="frozen"/>
      <selection pane="bottomLeft" sqref="A1:O2"/>
    </sheetView>
  </sheetViews>
  <sheetFormatPr defaultRowHeight="13.5"/>
  <cols>
    <col min="1" max="1" width="12" style="41" customWidth="1"/>
    <col min="2" max="3" width="12.140625" customWidth="1"/>
    <col min="4" max="4" width="11.42578125" customWidth="1"/>
    <col min="5" max="5" width="25.140625" customWidth="1"/>
    <col min="6" max="6" width="30.140625" customWidth="1"/>
    <col min="7" max="17" width="10.140625" customWidth="1"/>
    <col min="20" max="20" width="27.42578125" customWidth="1"/>
    <col min="21" max="21" width="19.140625" customWidth="1"/>
    <col min="22" max="22" width="24.42578125" customWidth="1"/>
    <col min="23" max="23" width="20.42578125" customWidth="1"/>
    <col min="25" max="25" width="26.140625" customWidth="1"/>
  </cols>
  <sheetData>
    <row r="1" spans="1:26">
      <c r="A1" s="101" t="str">
        <f ca="1">_xlfn.CONCAT('Email Builder'!D1:E1)</f>
        <v>CBPT Release Testing Status as of Oct 11, 2025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Z1" s="95" t="s">
        <v>0</v>
      </c>
    </row>
    <row r="2" spans="1:26" ht="6.95" customHeight="1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Z2" t="str">
        <f>'CBPTINTK-3796 CLD &amp; Repricing L'!$A$104</f>
        <v>CUMULATIVE VARIANCES BY SEVERITY AND STATUS</v>
      </c>
    </row>
    <row r="3" spans="1:26" ht="14.1" hidden="1">
      <c r="A3" s="97" t="s">
        <v>1</v>
      </c>
      <c r="B3" s="97"/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</row>
    <row r="4" spans="1:26" hidden="1">
      <c r="A4" s="98" t="s">
        <v>2</v>
      </c>
      <c r="B4" s="99" t="str">
        <f>IF('CBPTINTK-2800 IDP CA Foundation'!A$11 = "", "", 'CBPTINTK-2800 IDP CA Foundation'!A$11)</f>
        <v>Testing in progress</v>
      </c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</row>
    <row r="5" spans="1:26" ht="27" hidden="1">
      <c r="A5" s="98"/>
      <c r="B5" s="44" t="s">
        <v>3</v>
      </c>
      <c r="C5" s="44" t="s">
        <v>4</v>
      </c>
      <c r="D5" s="44" t="s">
        <v>5</v>
      </c>
      <c r="E5" s="44" t="s">
        <v>6</v>
      </c>
      <c r="F5" s="44" t="s">
        <v>7</v>
      </c>
      <c r="G5" s="100" t="s">
        <v>8</v>
      </c>
      <c r="H5" s="100"/>
      <c r="I5" s="100" t="s">
        <v>9</v>
      </c>
      <c r="J5" s="100"/>
      <c r="K5" s="100" t="s">
        <v>10</v>
      </c>
      <c r="L5" s="100"/>
      <c r="M5" s="45" t="s">
        <v>11</v>
      </c>
      <c r="N5" s="45" t="s">
        <v>12</v>
      </c>
      <c r="O5" s="45" t="s">
        <v>13</v>
      </c>
    </row>
    <row r="6" spans="1:26" hidden="1">
      <c r="A6" s="98"/>
      <c r="B6" s="46" t="s">
        <v>2</v>
      </c>
      <c r="C6" s="49">
        <v>45949</v>
      </c>
      <c r="D6" s="47">
        <f ca="1">OFFSET('CBPTINTK-2800 IDP CA Foundation'!$C$45,10,3)</f>
        <v>0</v>
      </c>
      <c r="E6" s="46" t="s">
        <v>14</v>
      </c>
      <c r="F6" s="46" t="s">
        <v>15</v>
      </c>
      <c r="G6" s="48">
        <f ca="1">SUM(OFFSET('CBPTINTK-2800 IDP CA Foundation'!$C$45,1,0):OFFSET('CBPTINTK-2800 IDP CA Foundation'!$C$45,1,1))</f>
        <v>134</v>
      </c>
      <c r="H6" s="46"/>
      <c r="I6" s="48">
        <f ca="1">SUM(OFFSET('CBPTINTK-2800 IDP CA Foundation'!$C$45,3,0):OFFSET('CBPTINTK-2800 IDP CA Foundation'!$C$45,3,1))</f>
        <v>0</v>
      </c>
      <c r="J6" s="46"/>
      <c r="K6" s="48">
        <f ca="1">OFFSET('CBPTINTK-2800 IDP CA Foundation'!$A$104,11,5)-SUM(OFFSET('CBPTINTK-2800 IDP CA Foundation'!$A$104,10,5):OFFSET('CBPTINTK-2800 IDP CA Foundation'!$A$104,8,5))</f>
        <v>0</v>
      </c>
      <c r="L6" s="46"/>
      <c r="M6" s="48">
        <f ca="1">SUM(OFFSET('CBPTINTK-2800 IDP CA Foundation'!$A$104,2,1):OFFSET('CBPTINTK-2800 IDP CA Foundation'!$A$104,7,1))</f>
        <v>0</v>
      </c>
      <c r="N6" s="48">
        <f ca="1">SUM(OFFSET('CBPTINTK-2800 IDP CA Foundation'!$A$104,2,2):OFFSET('CBPTINTK-2800 IDP CA Foundation'!$A$104,7,2))</f>
        <v>0</v>
      </c>
      <c r="O6" s="48">
        <f ca="1">SUM(OFFSET('CBPTINTK-2800 IDP CA Foundation'!$A$104,2,3):OFFSET('CBPTINTK-2800 IDP CA Foundation'!$A$104,7,3))</f>
        <v>0</v>
      </c>
      <c r="Z6" t="str">
        <f ca="1">CELL("address",INDEX('CBPTINTK-2800 IDP CA Foundation'!A$1:H$300,MATCH("CUMULATIVE VARIANCES BY SEVERITY AND STATUS",'CBPTINTK-2800 IDP CA Foundation'!A$1:A$300,0),2))</f>
        <v>[TQI CBPT Releases DSR as of Oct 08.xlsm]CBPTINTK-2800 IDP CA Foundation!$B$104</v>
      </c>
    </row>
    <row r="7" spans="1:26" ht="14.1" hidden="1">
      <c r="A7" s="97" t="s">
        <v>16</v>
      </c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Z7" s="95" t="s">
        <v>17</v>
      </c>
    </row>
    <row r="8" spans="1:26" hidden="1">
      <c r="A8" s="98" t="s">
        <v>18</v>
      </c>
      <c r="B8" s="99" t="str">
        <f>IF('CBPTINTK-3965 - KC Optimization'!A$11 = "", "", 'CBPTINTK-3965 - KC Optimization'!A$11)</f>
        <v>Testing in progress</v>
      </c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Z8" t="str">
        <f>'CBPTINTK-2800 IDP CA Foundation'!$A$104</f>
        <v>CUMULATIVE VARIANCES BY SEVERITY AND STATUS</v>
      </c>
    </row>
    <row r="9" spans="1:26" ht="27" hidden="1">
      <c r="A9" s="98"/>
      <c r="B9" s="44" t="s">
        <v>3</v>
      </c>
      <c r="C9" s="44" t="s">
        <v>4</v>
      </c>
      <c r="D9" s="44" t="s">
        <v>19</v>
      </c>
      <c r="E9" s="44" t="s">
        <v>20</v>
      </c>
      <c r="F9" s="44" t="s">
        <v>21</v>
      </c>
      <c r="G9" s="100" t="s">
        <v>22</v>
      </c>
      <c r="H9" s="100"/>
      <c r="I9" s="100" t="s">
        <v>23</v>
      </c>
      <c r="J9" s="100"/>
      <c r="K9" s="100" t="s">
        <v>10</v>
      </c>
      <c r="L9" s="100"/>
      <c r="M9" s="45" t="s">
        <v>11</v>
      </c>
      <c r="N9" s="45" t="s">
        <v>12</v>
      </c>
      <c r="O9" s="45" t="s">
        <v>13</v>
      </c>
    </row>
    <row r="10" spans="1:26" hidden="1">
      <c r="A10" s="98"/>
      <c r="B10" s="46" t="s">
        <v>18</v>
      </c>
      <c r="C10" s="49">
        <v>45944</v>
      </c>
      <c r="D10" s="47">
        <f ca="1">OFFSET('CBPTINTK-3965 - KC Optimization'!$C$45,10,3)</f>
        <v>1</v>
      </c>
      <c r="E10" s="46">
        <f>SUM(0)</f>
        <v>0</v>
      </c>
      <c r="F10" s="46">
        <f>SUM(0)</f>
        <v>0</v>
      </c>
      <c r="G10" s="48">
        <f ca="1">SUM(OFFSET('CBPTINTK-3965 - KC Optimization'!$C$45,1,0):OFFSET('CBPTINTK-3965 - KC Optimization'!$C$45,1,1))</f>
        <v>148</v>
      </c>
      <c r="H10" s="46"/>
      <c r="I10" s="48">
        <f ca="1">SUM(OFFSET('CBPTINTK-3965 - KC Optimization'!$C$45,3,0):OFFSET('CBPTINTK-3965 - KC Optimization'!$C$45,3,1))</f>
        <v>148</v>
      </c>
      <c r="J10" s="46"/>
      <c r="K10" s="48">
        <f ca="1">OFFSET('CBPTINTK-3965 - KC Optimization'!$A$104,11,5)-SUM(OFFSET('CBPTINTK-3965 - KC Optimization'!$A$104,10,5):OFFSET('CBPTINTK-3965 - KC Optimization'!$A$104,8,5))</f>
        <v>0</v>
      </c>
      <c r="L10" s="46"/>
      <c r="M10" s="48">
        <f ca="1">SUM(OFFSET('CBPTINTK-3965 - KC Optimization'!$A$104,2,1):OFFSET('CBPTINTK-3965 - KC Optimization'!$A$104,7,1))</f>
        <v>0</v>
      </c>
      <c r="N10" s="48">
        <f ca="1">SUM(OFFSET('CBPTINTK-3965 - KC Optimization'!$A$104,2,2):OFFSET('CBPTINTK-3965 - KC Optimization'!$A$104,7,2))</f>
        <v>0</v>
      </c>
      <c r="O10" s="48">
        <f ca="1">SUM(OFFSET('CBPTINTK-3965 - KC Optimization'!$A$104,2,3):OFFSET('CBPTINTK-3965 - KC Optimization'!$A$104,7,3))</f>
        <v>0</v>
      </c>
      <c r="Z10" t="str">
        <f ca="1">CELL("address",INDEX('CBPTINTK-3965 - KC Optimization'!A$1:H$300,MATCH("CUMULATIVE VARIANCES BY SEVERITY AND STATUS",'CBPTINTK-3965 - KC Optimization'!A$1:A$300,0),2))</f>
        <v>[TQI CBPT Releases DSR as of Oct 08.xlsm]CBPTINTK-3965 - KC Optimization!$B$104</v>
      </c>
    </row>
    <row r="11" spans="1:26" ht="14.1" hidden="1">
      <c r="A11" s="97" t="s">
        <v>24</v>
      </c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Z11" s="95" t="s">
        <v>25</v>
      </c>
    </row>
    <row r="12" spans="1:26" hidden="1">
      <c r="A12" s="98" t="s">
        <v>26</v>
      </c>
      <c r="B12" s="99" t="str">
        <f>IF('CBPTINTK-23406 Upgrade DDGS Sma'!A$11 = "", "", 'CBPTINTK-23406 Upgrade DDGS Sma'!A$11)</f>
        <v>Testing in progress</v>
      </c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  <c r="Z12" t="str">
        <f>'PBBT-22425 Excalibur LFA_PBBT-2'!$A$104</f>
        <v>CUMULATIVE VARIANCES BY SEVERITY AND STATUS</v>
      </c>
    </row>
    <row r="13" spans="1:26" ht="27" hidden="1">
      <c r="A13" s="98"/>
      <c r="B13" s="44" t="s">
        <v>3</v>
      </c>
      <c r="C13" s="44" t="s">
        <v>4</v>
      </c>
      <c r="D13" s="44" t="s">
        <v>27</v>
      </c>
      <c r="E13" s="44" t="s">
        <v>28</v>
      </c>
      <c r="F13" s="44" t="s">
        <v>29</v>
      </c>
      <c r="G13" s="100" t="s">
        <v>30</v>
      </c>
      <c r="H13" s="100"/>
      <c r="I13" s="100" t="s">
        <v>31</v>
      </c>
      <c r="J13" s="100"/>
      <c r="K13" s="100" t="s">
        <v>10</v>
      </c>
      <c r="L13" s="100"/>
      <c r="M13" s="45" t="s">
        <v>11</v>
      </c>
      <c r="N13" s="45" t="s">
        <v>12</v>
      </c>
      <c r="O13" s="45" t="s">
        <v>13</v>
      </c>
      <c r="Z13" s="95" t="s">
        <v>32</v>
      </c>
    </row>
    <row r="14" spans="1:26" hidden="1">
      <c r="A14" s="98"/>
      <c r="B14" s="46" t="s">
        <v>2</v>
      </c>
      <c r="C14" s="49">
        <v>45949</v>
      </c>
      <c r="D14" s="47">
        <f ca="1">OFFSET('CBPTINTK-23406 Upgrade DDGS Sma'!$C$45,10,3)</f>
        <v>8.666666666666667E-2</v>
      </c>
      <c r="E14" s="46" t="s">
        <v>33</v>
      </c>
      <c r="F14" s="46" t="s">
        <v>34</v>
      </c>
      <c r="G14" s="48">
        <f ca="1">SUM(OFFSET('CBPTINTK-23406 Upgrade DDGS Sma'!$C$45,1,0):OFFSET('CBPTINTK-23406 Upgrade DDGS Sma'!$C$45,1,1))</f>
        <v>150</v>
      </c>
      <c r="H14" s="46"/>
      <c r="I14" s="48">
        <f ca="1">SUM(OFFSET('CBPTINTK-23406 Upgrade DDGS Sma'!$C$45,3,0):OFFSET('CBPTINTK-23406 Upgrade DDGS Sma'!$C$45,3,1))</f>
        <v>13</v>
      </c>
      <c r="J14" s="46"/>
      <c r="K14" s="48">
        <f ca="1">OFFSET('CBPTINTK-23406 Upgrade DDGS Sma'!$A$104,11,5)-SUM(OFFSET('CBPTINTK-23406 Upgrade DDGS Sma'!$A$104,10,5):OFFSET('CBPTINTK-23406 Upgrade DDGS Sma'!$A$104,8,5))</f>
        <v>0</v>
      </c>
      <c r="L14" s="46"/>
      <c r="M14" s="48">
        <f ca="1">SUM(OFFSET('CBPTINTK-23406 Upgrade DDGS Sma'!$A$104,2,1):OFFSET('CBPTINTK-23406 Upgrade DDGS Sma'!$A$104,7,1))</f>
        <v>0</v>
      </c>
      <c r="N14" s="48">
        <f ca="1">SUM(OFFSET('CBPTINTK-23406 Upgrade DDGS Sma'!$A$104,2,2):OFFSET('CBPTINTK-23406 Upgrade DDGS Sma'!$A$104,7,2))</f>
        <v>0</v>
      </c>
      <c r="O14" s="48">
        <f ca="1">SUM(OFFSET('CBPTINTK-23406 Upgrade DDGS Sma'!$A$104,2,3):OFFSET('CBPTINTK-23406 Upgrade DDGS Sma'!$A$104,7,3))</f>
        <v>0</v>
      </c>
      <c r="Z14" t="str">
        <f>'CBPTINTK-3517 Property Insuranc'!$A$104</f>
        <v>CUMULATIVE VARIANCES BY SEVERITY AND STATUS</v>
      </c>
    </row>
    <row r="15" spans="1:26" ht="14.1">
      <c r="A15" s="97" t="s">
        <v>35</v>
      </c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</row>
    <row r="16" spans="1:26">
      <c r="A16" s="98" t="s">
        <v>26</v>
      </c>
      <c r="B16" s="99" t="str">
        <f>IF('CBPTINTK-3517 Property Insuranc'!A$11 = "", "", 'CBPTINTK-3517 Property Insuranc'!A$11)</f>
        <v>Testing in progress</v>
      </c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Z16" t="str">
        <f ca="1">CELL("address",INDEX('CBPTINTK-3069 Project Guardian'!A$1:H$300,MATCH("CUMULATIVE VARIANCES BY SEVERITY AND STATUS",'CBPTINTK-3069 Project Guardian'!A$1:A$300,0),2))</f>
        <v>[TQI CBPT Releases DSR as of Oct 08.xlsm]CBPTINTK-3069 Project Guardian!$B$104</v>
      </c>
    </row>
    <row r="17" spans="1:26" ht="28.5" customHeight="1">
      <c r="A17" s="98"/>
      <c r="B17" s="44" t="s">
        <v>3</v>
      </c>
      <c r="C17" s="44" t="s">
        <v>4</v>
      </c>
      <c r="D17" s="44" t="s">
        <v>27</v>
      </c>
      <c r="E17" s="44" t="s">
        <v>28</v>
      </c>
      <c r="F17" s="44" t="s">
        <v>29</v>
      </c>
      <c r="G17" s="100" t="s">
        <v>30</v>
      </c>
      <c r="H17" s="100"/>
      <c r="I17" s="100" t="s">
        <v>31</v>
      </c>
      <c r="J17" s="100"/>
      <c r="K17" s="100" t="s">
        <v>10</v>
      </c>
      <c r="L17" s="100"/>
      <c r="M17" s="45" t="s">
        <v>11</v>
      </c>
      <c r="N17" s="45" t="s">
        <v>12</v>
      </c>
      <c r="O17" s="45" t="s">
        <v>13</v>
      </c>
      <c r="Z17" s="95" t="s">
        <v>36</v>
      </c>
    </row>
    <row r="18" spans="1:26">
      <c r="A18" s="98"/>
      <c r="B18" s="46" t="s">
        <v>26</v>
      </c>
      <c r="C18" s="49">
        <v>45977</v>
      </c>
      <c r="D18" s="47">
        <f ca="1">OFFSET('CBPTINTK-3517 Property Insuranc'!$C$45,10,3)</f>
        <v>0.27777777777777779</v>
      </c>
      <c r="E18" s="46" t="s">
        <v>37</v>
      </c>
      <c r="F18" s="46" t="s">
        <v>34</v>
      </c>
      <c r="G18" s="48">
        <f ca="1">SUM(OFFSET('CBPTINTK-3517 Property Insuranc'!$C$45,1,0):OFFSET('CBPTINTK-3517 Property Insuranc'!$C$45,1,1))</f>
        <v>72</v>
      </c>
      <c r="H18" s="46"/>
      <c r="I18" s="48">
        <f ca="1">SUM(OFFSET('CBPTINTK-3517 Property Insuranc'!$C$45,3,0):OFFSET('CBPTINTK-3517 Property Insuranc'!$C$45,3,1))</f>
        <v>24</v>
      </c>
      <c r="J18" s="46"/>
      <c r="K18" s="48">
        <f ca="1">OFFSET('CBPTINTK-3517 Property Insuranc'!$A$104,11,5)-SUM(OFFSET('CBPTINTK-3517 Property Insuranc'!$A$104,10,5):OFFSET('CBPTINTK-3517 Property Insuranc'!$A$104,8,5))</f>
        <v>2</v>
      </c>
      <c r="L18" s="46"/>
      <c r="M18" s="48">
        <f ca="1">SUM(OFFSET('CBPTINTK-3517 Property Insuranc'!$A$104,2,1):OFFSET('CBPTINTK-3517 Property Insuranc'!$A$104,7,1))</f>
        <v>0</v>
      </c>
      <c r="N18" s="48">
        <f ca="1">SUM(OFFSET('CBPTINTK-3517 Property Insuranc'!$A$104,2,2):OFFSET('CBPTINTK-3517 Property Insuranc'!$A$104,7,2))</f>
        <v>0</v>
      </c>
      <c r="O18" s="48">
        <f ca="1">SUM(OFFSET('CBPTINTK-3517 Property Insuranc'!$A$104,2,3):OFFSET('CBPTINTK-3517 Property Insuranc'!$A$104,7,3))</f>
        <v>2</v>
      </c>
      <c r="Z18" t="e">
        <f>#REF!</f>
        <v>#REF!</v>
      </c>
    </row>
    <row r="19" spans="1:26" ht="14.1">
      <c r="A19" s="97" t="s">
        <v>38</v>
      </c>
      <c r="B19" s="9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</row>
    <row r="20" spans="1:26">
      <c r="A20" s="98" t="s">
        <v>18</v>
      </c>
      <c r="B20" s="99" t="str">
        <f>IF('CBPTINTK-2616 Renewal Due Dilig'!A$11 = "", "", 'CBPTINTK-2616 Renewal Due Dilig'!A$11)</f>
        <v>Testing in progress</v>
      </c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99"/>
      <c r="O20" s="99"/>
    </row>
    <row r="21" spans="1:26" ht="27">
      <c r="A21" s="98"/>
      <c r="B21" s="44" t="s">
        <v>3</v>
      </c>
      <c r="C21" s="44" t="s">
        <v>4</v>
      </c>
      <c r="D21" s="44" t="s">
        <v>19</v>
      </c>
      <c r="E21" s="44" t="s">
        <v>20</v>
      </c>
      <c r="F21" s="44" t="s">
        <v>21</v>
      </c>
      <c r="G21" s="100" t="s">
        <v>22</v>
      </c>
      <c r="H21" s="100"/>
      <c r="I21" s="100" t="s">
        <v>23</v>
      </c>
      <c r="J21" s="100"/>
      <c r="K21" s="100" t="s">
        <v>10</v>
      </c>
      <c r="L21" s="100"/>
      <c r="M21" s="45" t="s">
        <v>11</v>
      </c>
      <c r="N21" s="45" t="s">
        <v>12</v>
      </c>
      <c r="O21" s="45" t="s">
        <v>13</v>
      </c>
    </row>
    <row r="22" spans="1:26">
      <c r="A22" s="98"/>
      <c r="B22" s="46" t="s">
        <v>2</v>
      </c>
      <c r="C22" s="49">
        <v>45977</v>
      </c>
      <c r="D22" s="47">
        <f ca="1">OFFSET('CBPTINTK-2616 Renewal Due Dilig'!$C$45,10,3)</f>
        <v>0.7763440860215054</v>
      </c>
      <c r="E22" s="46" t="s">
        <v>39</v>
      </c>
      <c r="F22" s="46" t="s">
        <v>40</v>
      </c>
      <c r="G22" s="48">
        <f ca="1">SUM(OFFSET('CBPTINTK-2616 Renewal Due Dilig'!$C$45,1,0):OFFSET('CBPTINTK-2616 Renewal Due Dilig'!$C$45,1,1))</f>
        <v>930</v>
      </c>
      <c r="H22" s="46"/>
      <c r="I22" s="48">
        <f ca="1">SUM(OFFSET('CBPTINTK-2616 Renewal Due Dilig'!$C$45,3,0):OFFSET('CBPTINTK-2616 Renewal Due Dilig'!$C$45,3,1))</f>
        <v>747</v>
      </c>
      <c r="J22" s="46"/>
      <c r="K22" s="48">
        <f ca="1">OFFSET('CBPTINTK-2616 Renewal Due Dilig'!$A$104,11,5)-SUM(OFFSET('CBPTINTK-2616 Renewal Due Dilig'!$A$104,10,5):OFFSET('CBPTINTK-2616 Renewal Due Dilig'!$A$104,8,5))</f>
        <v>40</v>
      </c>
      <c r="L22" s="46"/>
      <c r="M22" s="48">
        <f ca="1">SUM(OFFSET('CBPTINTK-2616 Renewal Due Dilig'!$A$104,2,1):OFFSET('CBPTINTK-2616 Renewal Due Dilig'!$A$104,7,1))</f>
        <v>2</v>
      </c>
      <c r="N22" s="48">
        <f ca="1">SUM(OFFSET('CBPTINTK-2616 Renewal Due Dilig'!$A$104,2,2):OFFSET('CBPTINTK-2616 Renewal Due Dilig'!$A$104,7,2))</f>
        <v>34</v>
      </c>
      <c r="O22" s="48">
        <f ca="1">SUM(OFFSET('CBPTINTK-2616 Renewal Due Dilig'!$A$104,2,3):OFFSET('CBPTINTK-2616 Renewal Due Dilig'!$A$104,7,3))</f>
        <v>4</v>
      </c>
    </row>
    <row r="23" spans="1:26" ht="14.1">
      <c r="A23" s="97" t="s">
        <v>41</v>
      </c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</row>
    <row r="24" spans="1:26">
      <c r="A24" s="98" t="s">
        <v>18</v>
      </c>
      <c r="B24" s="99" t="str">
        <f>IF('PBBT-23572 RESL POD Shift Left'!A$11 = "", "", 'PBBT-23572 RESL POD Shift Left'!A$11)</f>
        <v>Testing in progress. SIT complete.</v>
      </c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Z24" t="str">
        <f ca="1">CELL("address",INDEX('CBPTINT - 3291 CLP MVP 1 Renewa'!A$1:H$300,MATCH("CUMULATIVE VARIANCES BY SEVERITY AND STATUS",'CBPTINT - 3291 CLP MVP 1 Renewa'!A$1:A$300,0),2))</f>
        <v>[TQI CBPT Releases DSR as of Oct 08.xlsm]CBPTINT - 3291 CLP MVP 1 Renewa!$B$104</v>
      </c>
    </row>
    <row r="25" spans="1:26" ht="27">
      <c r="A25" s="98"/>
      <c r="B25" s="44" t="s">
        <v>3</v>
      </c>
      <c r="C25" s="44" t="s">
        <v>4</v>
      </c>
      <c r="D25" s="44" t="s">
        <v>19</v>
      </c>
      <c r="E25" s="44" t="s">
        <v>20</v>
      </c>
      <c r="F25" s="44" t="s">
        <v>21</v>
      </c>
      <c r="G25" s="100" t="s">
        <v>22</v>
      </c>
      <c r="H25" s="100"/>
      <c r="I25" s="100" t="s">
        <v>23</v>
      </c>
      <c r="J25" s="100"/>
      <c r="K25" s="100" t="s">
        <v>10</v>
      </c>
      <c r="L25" s="100"/>
      <c r="M25" s="45" t="s">
        <v>11</v>
      </c>
      <c r="N25" s="45" t="s">
        <v>12</v>
      </c>
      <c r="O25" s="45" t="s">
        <v>13</v>
      </c>
      <c r="Z25" s="95" t="s">
        <v>42</v>
      </c>
    </row>
    <row r="26" spans="1:26">
      <c r="A26" s="98"/>
      <c r="B26" s="46" t="s">
        <v>18</v>
      </c>
      <c r="C26" s="49">
        <v>45977</v>
      </c>
      <c r="D26" s="47">
        <f ca="1">OFFSET('PBBT-23572 RESL POD Shift Left'!$C$45,10,3)</f>
        <v>0.99725274725274726</v>
      </c>
      <c r="E26" s="46" t="s">
        <v>43</v>
      </c>
      <c r="F26" s="46" t="s">
        <v>43</v>
      </c>
      <c r="G26" s="48">
        <f ca="1">SUM(OFFSET('PBBT-23572 RESL POD Shift Left'!$C$45,1,0):OFFSET('PBBT-23572 RESL POD Shift Left'!$C$45,1,1))</f>
        <v>728</v>
      </c>
      <c r="H26" s="46"/>
      <c r="I26" s="48">
        <f ca="1">SUM(OFFSET('PBBT-23572 RESL POD Shift Left'!$C$45,3,0):OFFSET('PBBT-23572 RESL POD Shift Left'!$C$45,3,1))</f>
        <v>728</v>
      </c>
      <c r="J26" s="46"/>
      <c r="K26" s="48">
        <f ca="1">OFFSET('PBBT-23572 RESL POD Shift Left'!$A$104,11,5)-SUM(OFFSET('PBBT-23572 RESL POD Shift Left'!$A$104,10,5):OFFSET('PBBT-23572 RESL POD Shift Left'!$A$104,8,5))</f>
        <v>2</v>
      </c>
      <c r="L26" s="46"/>
      <c r="M26" s="48">
        <f ca="1">SUM(OFFSET('PBBT-23572 RESL POD Shift Left'!$A$104,2,1):OFFSET('PBBT-23572 RESL POD Shift Left'!$A$104,7,1))</f>
        <v>0</v>
      </c>
      <c r="N26" s="48">
        <f ca="1">SUM(OFFSET('PBBT-23572 RESL POD Shift Left'!$A$104,2,2):OFFSET('PBBT-23572 RESL POD Shift Left'!$A$104,7,2))</f>
        <v>2</v>
      </c>
      <c r="O26" s="48">
        <f ca="1">SUM(OFFSET('PBBT-23572 RESL POD Shift Left'!$A$104,2,3):OFFSET('PBBT-23572 RESL POD Shift Left'!$A$104,7,3))</f>
        <v>0</v>
      </c>
      <c r="Z26" t="str">
        <f>'ATM PH Release 37.5'!$A$104</f>
        <v>CUMULATIVE VARIANCES BY SEVERITY AND STATUS</v>
      </c>
    </row>
    <row r="27" spans="1:26" ht="14.1" hidden="1">
      <c r="A27" s="97" t="s">
        <v>44</v>
      </c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</row>
    <row r="28" spans="1:26" hidden="1">
      <c r="A28" s="98" t="s">
        <v>18</v>
      </c>
      <c r="B28" s="99" t="str">
        <f>IF('PBBT-22623 Eliminate IMDS Depen'!A$11 = "", "", 'PBBT-22623 Eliminate IMDS Depen'!A$11)</f>
        <v>Testing in progress</v>
      </c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Z28" t="str">
        <f ca="1">CELL("address",INDEX('POS Release 43'!A$1:H$300,MATCH("CUMULATIVE VARIANCES BY SEVERITY AND STATUS",'POS Release 43'!A$1:A$300,0),2))</f>
        <v>[TQI CBPT Releases DSR as of Oct 08.xlsm]POS Release 43!$B$104</v>
      </c>
    </row>
    <row r="29" spans="1:26" ht="27" hidden="1">
      <c r="A29" s="98"/>
      <c r="B29" s="44" t="s">
        <v>3</v>
      </c>
      <c r="C29" s="44" t="s">
        <v>4</v>
      </c>
      <c r="D29" s="44" t="s">
        <v>27</v>
      </c>
      <c r="E29" s="44" t="s">
        <v>28</v>
      </c>
      <c r="F29" s="44" t="s">
        <v>29</v>
      </c>
      <c r="G29" s="100" t="s">
        <v>30</v>
      </c>
      <c r="H29" s="100"/>
      <c r="I29" s="100" t="s">
        <v>31</v>
      </c>
      <c r="J29" s="100"/>
      <c r="K29" s="100" t="s">
        <v>10</v>
      </c>
      <c r="L29" s="100"/>
      <c r="M29" s="45" t="s">
        <v>11</v>
      </c>
      <c r="N29" s="45" t="s">
        <v>12</v>
      </c>
      <c r="O29" s="45" t="s">
        <v>13</v>
      </c>
      <c r="Z29" s="95" t="s">
        <v>45</v>
      </c>
    </row>
    <row r="30" spans="1:26" hidden="1">
      <c r="A30" s="98"/>
      <c r="B30" s="46" t="s">
        <v>18</v>
      </c>
      <c r="C30" s="49">
        <v>45949</v>
      </c>
      <c r="D30" s="47">
        <f ca="1">OFFSET('PBBT-22623 Eliminate IMDS Depen'!$C$45,10,3)</f>
        <v>0.11</v>
      </c>
      <c r="E30" s="46" t="s">
        <v>33</v>
      </c>
      <c r="F30" s="46" t="s">
        <v>34</v>
      </c>
      <c r="G30" s="48">
        <f ca="1">SUM(OFFSET('PBBT-22623 Eliminate IMDS Depen'!$C$45,1,0):OFFSET('PBBT-22623 Eliminate IMDS Depen'!$C$45,1,1))</f>
        <v>100</v>
      </c>
      <c r="H30" s="46"/>
      <c r="I30" s="48">
        <f ca="1">SUM(OFFSET('PBBT-22623 Eliminate IMDS Depen'!$C$45,3,0):OFFSET('PBBT-22623 Eliminate IMDS Depen'!$C$45,3,1))</f>
        <v>11</v>
      </c>
      <c r="J30" s="46"/>
      <c r="K30" s="48">
        <f ca="1">OFFSET('PBBT-22623 Eliminate IMDS Depen'!$A$104,11,5)-SUM(OFFSET('PBBT-22623 Eliminate IMDS Depen'!$A$104,10,5):OFFSET('PBBT-22623 Eliminate IMDS Depen'!$A$104,8,5))</f>
        <v>0</v>
      </c>
      <c r="L30" s="46"/>
      <c r="M30" s="48">
        <f ca="1">SUM(OFFSET('PBBT-22623 Eliminate IMDS Depen'!$A$104,2,1):OFFSET('PBBT-22623 Eliminate IMDS Depen'!$A$104,7,1))</f>
        <v>0</v>
      </c>
      <c r="N30" s="48">
        <f ca="1">SUM(OFFSET('PBBT-22623 Eliminate IMDS Depen'!$A$104,2,2):OFFSET('PBBT-22623 Eliminate IMDS Depen'!$A$104,7,2))</f>
        <v>0</v>
      </c>
      <c r="O30" s="48">
        <f ca="1">SUM(OFFSET('PBBT-22623 Eliminate IMDS Depen'!$A$104,2,3):OFFSET('PBBT-22623 Eliminate IMDS Depen'!$A$104,7,3))</f>
        <v>0</v>
      </c>
      <c r="Z30" t="str">
        <f>'CBPTINTK-4356 CB Enhancements A'!$A$104</f>
        <v>CUMULATIVE VARIANCES BY SEVERITY AND STATUS</v>
      </c>
    </row>
    <row r="31" spans="1:26" ht="14.1" hidden="1">
      <c r="A31" s="97" t="s">
        <v>46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</row>
    <row r="32" spans="1:26" hidden="1">
      <c r="A32" s="98" t="s">
        <v>18</v>
      </c>
      <c r="B32" s="99" t="str">
        <f>IF('CBPTINTK-4105 Client at Risk CR'!A$11 = "", "", 'CBPTINTK-4105 Client at Risk CR'!A$11)</f>
        <v>Testing in progress</v>
      </c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Z32" t="str">
        <f ca="1">CELL("address",INDEX('ATM PH Release 37.5'!A$1:H$300,MATCH("CUMULATIVE VARIANCES BY SEVERITY AND STATUS",'ATM PH Release 37.5'!A$1:A$300,0),2))</f>
        <v>[TQI CBPT Releases DSR as of Oct 08.xlsm]ATM PH Release 37.5!$B$104</v>
      </c>
    </row>
    <row r="33" spans="1:26" ht="27" hidden="1">
      <c r="A33" s="98"/>
      <c r="B33" s="44" t="s">
        <v>3</v>
      </c>
      <c r="C33" s="44" t="s">
        <v>4</v>
      </c>
      <c r="D33" s="44" t="s">
        <v>19</v>
      </c>
      <c r="E33" s="44" t="s">
        <v>20</v>
      </c>
      <c r="F33" s="44" t="s">
        <v>21</v>
      </c>
      <c r="G33" s="100" t="s">
        <v>22</v>
      </c>
      <c r="H33" s="100"/>
      <c r="I33" s="100" t="s">
        <v>23</v>
      </c>
      <c r="J33" s="100"/>
      <c r="K33" s="100" t="s">
        <v>10</v>
      </c>
      <c r="L33" s="100"/>
      <c r="M33" s="45" t="s">
        <v>11</v>
      </c>
      <c r="N33" s="45" t="s">
        <v>12</v>
      </c>
      <c r="O33" s="45" t="s">
        <v>13</v>
      </c>
    </row>
    <row r="34" spans="1:26" hidden="1">
      <c r="A34" s="98"/>
      <c r="B34" s="46" t="s">
        <v>18</v>
      </c>
      <c r="C34" s="49">
        <v>45949</v>
      </c>
      <c r="D34" s="47">
        <f ca="1">OFFSET('CBPTINTK-4105 Client at Risk CR'!$C$45,10,3)</f>
        <v>0.2</v>
      </c>
      <c r="E34" s="46" t="s">
        <v>47</v>
      </c>
      <c r="F34" s="46" t="s">
        <v>34</v>
      </c>
      <c r="G34" s="48">
        <f ca="1">SUM(OFFSET('CBPTINTK-4105 Client at Risk CR'!$C$45,1,0):OFFSET('CBPTINTK-4105 Client at Risk CR'!$C$45,1,1))</f>
        <v>50</v>
      </c>
      <c r="H34" s="46"/>
      <c r="I34" s="48">
        <f ca="1">SUM(OFFSET('CBPTINTK-4105 Client at Risk CR'!$C$45,3,0):OFFSET('CBPTINTK-4105 Client at Risk CR'!$C$45,3,1))</f>
        <v>26</v>
      </c>
      <c r="J34" s="46"/>
      <c r="K34" s="48">
        <f ca="1">OFFSET('CBPTINTK-4105 Client at Risk CR'!$A$104,11,5)-SUM(OFFSET('CBPTINTK-4105 Client at Risk CR'!$A$104,10,5):OFFSET('CBPTINTK-4105 Client at Risk CR'!$A$104,8,5))</f>
        <v>1</v>
      </c>
      <c r="L34" s="46"/>
      <c r="M34" s="48">
        <f ca="1">SUM(OFFSET('CBPTINTK-4105 Client at Risk CR'!$A$104,2,1):OFFSET('CBPTINTK-4105 Client at Risk CR'!$A$104,7,1))</f>
        <v>0</v>
      </c>
      <c r="N34" s="48">
        <f ca="1">SUM(OFFSET('CBPTINTK-4105 Client at Risk CR'!$A$104,2,2):OFFSET('CBPTINTK-4105 Client at Risk CR'!$A$104,7,2))</f>
        <v>1</v>
      </c>
      <c r="O34" s="48">
        <f ca="1">SUM(OFFSET('CBPTINTK-4105 Client at Risk CR'!$A$104,2,3):OFFSET('CBPTINTK-4105 Client at Risk CR'!$A$104,7,3))</f>
        <v>0</v>
      </c>
    </row>
    <row r="35" spans="1:26" ht="14.1">
      <c r="A35" s="97" t="s">
        <v>48</v>
      </c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</row>
    <row r="36" spans="1:26">
      <c r="A36" s="98" t="s">
        <v>18</v>
      </c>
      <c r="B36" s="99" t="str">
        <f>IF('CBPTINTK-4313 Reverse Franchisi'!A$11 = "", "", 'CBPTINTK-4313 Reverse Franchisi'!A$11)</f>
        <v>Testing in progress</v>
      </c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99"/>
      <c r="O36" s="99"/>
    </row>
    <row r="37" spans="1:26" ht="27">
      <c r="A37" s="98"/>
      <c r="B37" s="44" t="s">
        <v>3</v>
      </c>
      <c r="C37" s="44" t="s">
        <v>4</v>
      </c>
      <c r="D37" s="44" t="s">
        <v>19</v>
      </c>
      <c r="E37" s="44" t="s">
        <v>20</v>
      </c>
      <c r="F37" s="44" t="s">
        <v>21</v>
      </c>
      <c r="G37" s="100" t="s">
        <v>22</v>
      </c>
      <c r="H37" s="100"/>
      <c r="I37" s="100" t="s">
        <v>23</v>
      </c>
      <c r="J37" s="100"/>
      <c r="K37" s="100" t="s">
        <v>10</v>
      </c>
      <c r="L37" s="100"/>
      <c r="M37" s="45" t="s">
        <v>11</v>
      </c>
      <c r="N37" s="45" t="s">
        <v>12</v>
      </c>
      <c r="O37" s="45" t="s">
        <v>13</v>
      </c>
    </row>
    <row r="38" spans="1:26">
      <c r="A38" s="98"/>
      <c r="B38" s="46" t="s">
        <v>18</v>
      </c>
      <c r="C38" s="49">
        <v>45977</v>
      </c>
      <c r="D38" s="47">
        <f ca="1">OFFSET('CBPTINTK-4313 Reverse Franchisi'!$C$45,10,3)</f>
        <v>0.89583333333333337</v>
      </c>
      <c r="E38" s="46" t="s">
        <v>49</v>
      </c>
      <c r="F38" s="46" t="s">
        <v>34</v>
      </c>
      <c r="G38" s="48">
        <f ca="1">SUM(OFFSET('CBPTINTK-4313 Reverse Franchisi'!$C$45,1,0):OFFSET('CBPTINTK-4313 Reverse Franchisi'!$C$45,1,1))</f>
        <v>48</v>
      </c>
      <c r="H38" s="46"/>
      <c r="I38" s="48">
        <f ca="1">SUM(OFFSET('CBPTINTK-4313 Reverse Franchisi'!$C$45,3,0):OFFSET('CBPTINTK-4313 Reverse Franchisi'!$C$45,3,1))</f>
        <v>45</v>
      </c>
      <c r="J38" s="46"/>
      <c r="K38" s="48">
        <f ca="1">OFFSET('CBPTINTK-4313 Reverse Franchisi'!$A$104,11,5)-SUM(OFFSET('CBPTINTK-4313 Reverse Franchisi'!$A$104,10,5):OFFSET('CBPTINTK-4313 Reverse Franchisi'!$A$104,8,5))</f>
        <v>3</v>
      </c>
      <c r="L38" s="46"/>
      <c r="M38" s="48">
        <f ca="1">SUM(OFFSET('CBPTINTK-4313 Reverse Franchisi'!$A$104,2,1):OFFSET('CBPTINTK-4313 Reverse Franchisi'!$A$104,7,1))</f>
        <v>1</v>
      </c>
      <c r="N38" s="48">
        <f ca="1">SUM(OFFSET('CBPTINTK-4313 Reverse Franchisi'!$A$104,2,2):OFFSET('CBPTINTK-4313 Reverse Franchisi'!$A$104,7,2))</f>
        <v>2</v>
      </c>
      <c r="O38" s="48">
        <f ca="1">SUM(OFFSET('CBPTINTK-4313 Reverse Franchisi'!$A$104,2,3):OFFSET('CBPTINTK-4313 Reverse Franchisi'!$A$104,7,3))</f>
        <v>0</v>
      </c>
    </row>
    <row r="39" spans="1:26" ht="14.1">
      <c r="A39" s="97" t="s">
        <v>50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Z39" s="95" t="s">
        <v>51</v>
      </c>
    </row>
    <row r="40" spans="1:26">
      <c r="A40" s="98" t="s">
        <v>18</v>
      </c>
      <c r="B40" s="99" t="str">
        <f>IF('PBPT16393 Credit Maintenance Pl'!A$11 = "", "", 'PBPT16393 Credit Maintenance Pl'!A$11)</f>
        <v>Testing in progress</v>
      </c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Z40" t="str">
        <f>'CBPTINTK-3965 - KC Optimization'!$A$104</f>
        <v>CUMULATIVE VARIANCES BY SEVERITY AND STATUS</v>
      </c>
    </row>
    <row r="41" spans="1:26" ht="27">
      <c r="A41" s="98"/>
      <c r="B41" s="44" t="s">
        <v>3</v>
      </c>
      <c r="C41" s="44" t="s">
        <v>4</v>
      </c>
      <c r="D41" s="44" t="s">
        <v>19</v>
      </c>
      <c r="E41" s="44" t="s">
        <v>20</v>
      </c>
      <c r="F41" s="44" t="s">
        <v>21</v>
      </c>
      <c r="G41" s="100" t="s">
        <v>22</v>
      </c>
      <c r="H41" s="100"/>
      <c r="I41" s="100" t="s">
        <v>23</v>
      </c>
      <c r="J41" s="100"/>
      <c r="K41" s="100" t="s">
        <v>10</v>
      </c>
      <c r="L41" s="100"/>
      <c r="M41" s="45" t="s">
        <v>11</v>
      </c>
      <c r="N41" s="45" t="s">
        <v>12</v>
      </c>
      <c r="O41" s="45" t="s">
        <v>13</v>
      </c>
    </row>
    <row r="42" spans="1:26">
      <c r="A42" s="98"/>
      <c r="B42" s="46" t="s">
        <v>18</v>
      </c>
      <c r="C42" s="49">
        <v>45977</v>
      </c>
      <c r="D42" s="47">
        <f ca="1">OFFSET('PBPT16393 Credit Maintenance Pl'!$C$45,10,3)</f>
        <v>0.31645569620253167</v>
      </c>
      <c r="E42" s="46" t="s">
        <v>52</v>
      </c>
      <c r="F42" s="46" t="s">
        <v>15</v>
      </c>
      <c r="G42" s="48">
        <f ca="1">SUM(OFFSET('PBPT16393 Credit Maintenance Pl'!$C$45,1,0):OFFSET('PBPT16393 Credit Maintenance Pl'!$C$45,1,1))</f>
        <v>158</v>
      </c>
      <c r="H42" s="46"/>
      <c r="I42" s="48">
        <f ca="1">SUM(OFFSET('PBPT16393 Credit Maintenance Pl'!$C$45,3,0):OFFSET('PBPT16393 Credit Maintenance Pl'!$C$45,3,1))</f>
        <v>50</v>
      </c>
      <c r="J42" s="46"/>
      <c r="K42" s="48">
        <f ca="1">OFFSET('PBPT16393 Credit Maintenance Pl'!$A$104,11,5)-SUM(OFFSET('PBPT16393 Credit Maintenance Pl'!$A$104,10,5):OFFSET('PBPT16393 Credit Maintenance Pl'!$A$104,8,5))</f>
        <v>0</v>
      </c>
      <c r="L42" s="46"/>
      <c r="M42" s="48">
        <f ca="1">SUM(OFFSET('PBPT16393 Credit Maintenance Pl'!$A$104,2,1):OFFSET('PBPT16393 Credit Maintenance Pl'!$A$104,7,1))</f>
        <v>0</v>
      </c>
      <c r="N42" s="48">
        <f ca="1">SUM(OFFSET('PBPT16393 Credit Maintenance Pl'!$A$104,2,2):OFFSET('PBPT16393 Credit Maintenance Pl'!$A$104,7,2))</f>
        <v>0</v>
      </c>
      <c r="O42" s="48">
        <f ca="1">SUM(OFFSET('PBPT16393 Credit Maintenance Pl'!$A$104,2,3):OFFSET('PBPT16393 Credit Maintenance Pl'!$A$104,7,3))</f>
        <v>0</v>
      </c>
      <c r="Z42" t="str">
        <f ca="1">CELL("address",INDEX('PBPT16393 Credit Maintenance Pl'!A$1:H$300,MATCH("CUMULATIVE VARIANCES BY SEVERITY AND STATUS",'PBPT16393 Credit Maintenance Pl'!A$1:A$300,0),2))</f>
        <v>[TQI CBPT Releases DSR as of Oct 08.xlsm]PBPT16393 Credit Maintenance Pl!$B$104</v>
      </c>
    </row>
    <row r="43" spans="1:26" ht="14.1">
      <c r="A43" s="97" t="s">
        <v>53</v>
      </c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Z43" s="95" t="s">
        <v>54</v>
      </c>
    </row>
    <row r="44" spans="1:26">
      <c r="A44" s="98" t="s">
        <v>18</v>
      </c>
      <c r="B44" s="99" t="str">
        <f>IF('PBBT-23552 Excalibur to RCDW Mo'!A$11 = "", "", 'PBBT-23552 Excalibur to RCDW Mo'!A$11)</f>
        <v>Testing in progress</v>
      </c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Z44" t="str">
        <f>'PBPT16393 Credit Maintenance Pl'!$A$104</f>
        <v>CUMULATIVE VARIANCES BY SEVERITY AND STATUS</v>
      </c>
    </row>
    <row r="45" spans="1:26" ht="27">
      <c r="A45" s="98"/>
      <c r="B45" s="44" t="s">
        <v>3</v>
      </c>
      <c r="C45" s="44" t="s">
        <v>4</v>
      </c>
      <c r="D45" s="44" t="s">
        <v>19</v>
      </c>
      <c r="E45" s="44" t="s">
        <v>20</v>
      </c>
      <c r="F45" s="44" t="s">
        <v>21</v>
      </c>
      <c r="G45" s="100" t="s">
        <v>22</v>
      </c>
      <c r="H45" s="100"/>
      <c r="I45" s="100" t="s">
        <v>23</v>
      </c>
      <c r="J45" s="100"/>
      <c r="K45" s="100" t="s">
        <v>10</v>
      </c>
      <c r="L45" s="100"/>
      <c r="M45" s="45" t="s">
        <v>11</v>
      </c>
      <c r="N45" s="45" t="s">
        <v>12</v>
      </c>
      <c r="O45" s="45" t="s">
        <v>13</v>
      </c>
    </row>
    <row r="46" spans="1:26">
      <c r="A46" s="98"/>
      <c r="B46" s="46" t="s">
        <v>18</v>
      </c>
      <c r="C46" s="49">
        <v>45977</v>
      </c>
      <c r="D46" s="47">
        <f ca="1">OFFSET('PBBT-23552 Excalibur to RCDW Mo'!$C$45,10,3)</f>
        <v>0.3</v>
      </c>
      <c r="E46" s="46" t="s">
        <v>55</v>
      </c>
      <c r="F46" s="46" t="s">
        <v>56</v>
      </c>
      <c r="G46" s="48">
        <f ca="1">SUM(OFFSET('PBBT-23552 Excalibur to RCDW Mo'!$C$45,1,0):OFFSET('PBBT-23552 Excalibur to RCDW Mo'!$C$45,1,1))</f>
        <v>40</v>
      </c>
      <c r="H46" s="46"/>
      <c r="I46" s="48">
        <f ca="1">SUM(OFFSET('PBBT-23552 Excalibur to RCDW Mo'!$C$45,3,0):OFFSET('PBBT-23552 Excalibur to RCDW Mo'!$C$45,3,1))</f>
        <v>12</v>
      </c>
      <c r="J46" s="46"/>
      <c r="K46" s="48">
        <f ca="1">OFFSET('PBBT-23552 Excalibur to RCDW Mo'!$A$104,11,5)-SUM(OFFSET('PBBT-23552 Excalibur to RCDW Mo'!$A$104,10,5):OFFSET('PBBT-23552 Excalibur to RCDW Mo'!$A$104,8,5))</f>
        <v>0</v>
      </c>
      <c r="L46" s="46"/>
      <c r="M46" s="48">
        <f ca="1">SUM(OFFSET('PBBT-23552 Excalibur to RCDW Mo'!$A$104,2,1):OFFSET('PBBT-23552 Excalibur to RCDW Mo'!$A$104,7,1))</f>
        <v>0</v>
      </c>
      <c r="N46" s="48">
        <f ca="1">SUM(OFFSET('PBBT-23552 Excalibur to RCDW Mo'!$A$104,2,2):OFFSET('PBBT-23552 Excalibur to RCDW Mo'!$A$104,7,2))</f>
        <v>0</v>
      </c>
      <c r="O46" s="48">
        <f ca="1">SUM(OFFSET('PBBT-23552 Excalibur to RCDW Mo'!$A$104,2,3):OFFSET('PBBT-23552 Excalibur to RCDW Mo'!$A$104,7,3))</f>
        <v>0</v>
      </c>
      <c r="Z46" t="str">
        <f ca="1">CELL("address",INDEX('PBBT-23552 Excalibur to RCDW Mo'!A$1:H$300,MATCH("CUMULATIVE VARIANCES BY SEVERITY AND STATUS",'PBBT-23552 Excalibur to RCDW Mo'!A$1:A$300,0),2))</f>
        <v>[TQI CBPT Releases DSR as of Oct 08.xlsm]PBBT-23552 Excalibur to RCDW Mo!$B$104</v>
      </c>
    </row>
    <row r="47" spans="1:26" ht="14.1">
      <c r="A47" s="97" t="s">
        <v>57</v>
      </c>
      <c r="B47" s="97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Z47" s="95" t="s">
        <v>58</v>
      </c>
    </row>
    <row r="48" spans="1:26">
      <c r="A48" s="98" t="s">
        <v>18</v>
      </c>
      <c r="B48" s="99" t="str">
        <f>IF('PBBT-22425 Excalibur LFA_PBBT-2'!A$11 = "", "", 'PBBT-22425 Excalibur LFA_PBBT-2'!A$11)</f>
        <v>Testing in progress</v>
      </c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99"/>
      <c r="Z48" t="str">
        <f>'PBBT-23552 Excalibur to RCDW Mo'!$A$104</f>
        <v>CUMULATIVE VARIANCES BY SEVERITY AND STATUS</v>
      </c>
    </row>
    <row r="49" spans="1:26" ht="27">
      <c r="A49" s="98"/>
      <c r="B49" s="44" t="s">
        <v>3</v>
      </c>
      <c r="C49" s="44" t="s">
        <v>4</v>
      </c>
      <c r="D49" s="44" t="s">
        <v>19</v>
      </c>
      <c r="E49" s="44" t="s">
        <v>20</v>
      </c>
      <c r="F49" s="44" t="s">
        <v>21</v>
      </c>
      <c r="G49" s="100" t="s">
        <v>22</v>
      </c>
      <c r="H49" s="100"/>
      <c r="I49" s="100" t="s">
        <v>23</v>
      </c>
      <c r="J49" s="100"/>
      <c r="K49" s="100" t="s">
        <v>10</v>
      </c>
      <c r="L49" s="100"/>
      <c r="M49" s="45" t="s">
        <v>11</v>
      </c>
      <c r="N49" s="45" t="s">
        <v>12</v>
      </c>
      <c r="O49" s="45" t="s">
        <v>13</v>
      </c>
    </row>
    <row r="50" spans="1:26">
      <c r="A50" s="98"/>
      <c r="B50" s="46" t="s">
        <v>18</v>
      </c>
      <c r="C50" s="49">
        <v>45977</v>
      </c>
      <c r="D50" s="47">
        <f ca="1">OFFSET('PBBT-22425 Excalibur LFA_PBBT-2'!$C$45,10,3)</f>
        <v>0.5892857142857143</v>
      </c>
      <c r="E50" s="46" t="s">
        <v>59</v>
      </c>
      <c r="F50" s="46" t="s">
        <v>56</v>
      </c>
      <c r="G50" s="48">
        <f ca="1">SUM(OFFSET('PBBT-22425 Excalibur LFA_PBBT-2'!$C$45,1,0):OFFSET('PBBT-22425 Excalibur LFA_PBBT-2'!$C$45,1,1))</f>
        <v>56</v>
      </c>
      <c r="H50" s="46"/>
      <c r="I50" s="48">
        <f ca="1">SUM(OFFSET('PBBT-22425 Excalibur LFA_PBBT-2'!$C$45,3,0):OFFSET('PBBT-22425 Excalibur LFA_PBBT-2'!$C$45,3,1))</f>
        <v>33</v>
      </c>
      <c r="J50" s="46"/>
      <c r="K50" s="48">
        <f ca="1">OFFSET('PBBT-22425 Excalibur LFA_PBBT-2'!$A$104,11,5)-SUM(OFFSET('PBBT-22425 Excalibur LFA_PBBT-2'!$A$104,10,5):OFFSET('PBBT-22425 Excalibur LFA_PBBT-2'!$A$104,8,5))</f>
        <v>0</v>
      </c>
      <c r="L50" s="46"/>
      <c r="M50" s="48">
        <f ca="1">SUM(OFFSET('PBBT-22425 Excalibur LFA_PBBT-2'!$A$104,2,1):OFFSET('PBBT-22425 Excalibur LFA_PBBT-2'!$A$104,7,1))</f>
        <v>0</v>
      </c>
      <c r="N50" s="48">
        <f ca="1">SUM(OFFSET('PBBT-22425 Excalibur LFA_PBBT-2'!$A$104,2,2):OFFSET('PBBT-22425 Excalibur LFA_PBBT-2'!$A$104,7,2))</f>
        <v>0</v>
      </c>
      <c r="O50" s="48">
        <f ca="1">SUM(OFFSET('PBBT-22425 Excalibur LFA_PBBT-2'!$A$104,2,3):OFFSET('PBBT-22425 Excalibur LFA_PBBT-2'!$A$104,7,3))</f>
        <v>0</v>
      </c>
      <c r="Z50" t="str">
        <f ca="1">CELL("address",INDEX('PBBT-22425 Excalibur LFA_PBBT-2'!A$1:H$300,MATCH("CUMULATIVE VARIANCES BY SEVERITY AND STATUS",'PBBT-22425 Excalibur LFA_PBBT-2'!A$1:A$300,0),2))</f>
        <v>[TQI CBPT Releases DSR as of Oct 08.xlsm]PBBT-22425 Excalibur LFA_PBBT-2!$B$104</v>
      </c>
    </row>
    <row r="51" spans="1:26" ht="14.1">
      <c r="A51" s="97" t="s">
        <v>60</v>
      </c>
      <c r="B51" s="97"/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</row>
    <row r="52" spans="1:26">
      <c r="A52" s="98" t="s">
        <v>18</v>
      </c>
      <c r="B52" s="99" t="str">
        <f>IF('Securitization November 2025 Re'!A$11 = "", "", 'Securitization November 2025 Re'!A$11)</f>
        <v>Testing in progress</v>
      </c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</row>
    <row r="53" spans="1:26" ht="27">
      <c r="A53" s="98"/>
      <c r="B53" s="44" t="s">
        <v>3</v>
      </c>
      <c r="C53" s="44" t="s">
        <v>4</v>
      </c>
      <c r="D53" s="44" t="s">
        <v>27</v>
      </c>
      <c r="E53" s="44" t="s">
        <v>28</v>
      </c>
      <c r="F53" s="44" t="s">
        <v>29</v>
      </c>
      <c r="G53" s="100" t="s">
        <v>30</v>
      </c>
      <c r="H53" s="100"/>
      <c r="I53" s="100" t="s">
        <v>31</v>
      </c>
      <c r="J53" s="100"/>
      <c r="K53" s="100" t="s">
        <v>10</v>
      </c>
      <c r="L53" s="100"/>
      <c r="M53" s="45" t="s">
        <v>11</v>
      </c>
      <c r="N53" s="45" t="s">
        <v>12</v>
      </c>
      <c r="O53" s="45" t="s">
        <v>13</v>
      </c>
    </row>
    <row r="54" spans="1:26">
      <c r="A54" s="98"/>
      <c r="B54" s="46" t="s">
        <v>18</v>
      </c>
      <c r="C54" s="49">
        <v>45977</v>
      </c>
      <c r="D54" s="47">
        <f ca="1">OFFSET('Securitization November 2025 Re'!$C$45,10,3)</f>
        <v>0.16167664670658682</v>
      </c>
      <c r="E54" s="46" t="s">
        <v>61</v>
      </c>
      <c r="F54" s="46" t="s">
        <v>62</v>
      </c>
      <c r="G54" s="48">
        <f ca="1">SUM(OFFSET('Securitization November 2025 Re'!$C$45,1,0):OFFSET('Securitization November 2025 Re'!$C$45,1,1))</f>
        <v>167</v>
      </c>
      <c r="H54" s="46"/>
      <c r="I54" s="48">
        <f ca="1">SUM(OFFSET('Securitization November 2025 Re'!$C$45,3,0):OFFSET('Securitization November 2025 Re'!$C$45,3,1))</f>
        <v>27</v>
      </c>
      <c r="J54" s="46"/>
      <c r="K54" s="48">
        <f ca="1">OFFSET('Securitization November 2025 Re'!$A$104,11,5)-SUM(OFFSET('Securitization November 2025 Re'!$A$104,10,5):OFFSET('Securitization November 2025 Re'!$A$104,8,5))</f>
        <v>1</v>
      </c>
      <c r="L54" s="46"/>
      <c r="M54" s="48">
        <f ca="1">SUM(OFFSET('Securitization November 2025 Re'!$A$104,2,1):OFFSET('Securitization November 2025 Re'!$A$104,7,1))</f>
        <v>0</v>
      </c>
      <c r="N54" s="48">
        <f ca="1">SUM(OFFSET('Securitization November 2025 Re'!$A$104,2,2):OFFSET('Securitization November 2025 Re'!$A$104,7,2))</f>
        <v>1</v>
      </c>
      <c r="O54" s="48">
        <f ca="1">SUM(OFFSET('Securitization November 2025 Re'!$A$104,2,3):OFFSET('Securitization November 2025 Re'!$A$104,7,3))</f>
        <v>0</v>
      </c>
    </row>
    <row r="55" spans="1:26" ht="14.1">
      <c r="A55" s="97" t="s">
        <v>63</v>
      </c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/>
      <c r="O55" s="97"/>
    </row>
    <row r="56" spans="1:26">
      <c r="A56" s="98" t="s">
        <v>18</v>
      </c>
      <c r="B56" s="99" t="str">
        <f>IF('CBPTINTK-17774 Annual Mortgage '!A$11 = "", "", 'CBPTINTK-17774 Annual Mortgage '!A$11)</f>
        <v>Testing in progress</v>
      </c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99"/>
    </row>
    <row r="57" spans="1:26" ht="27">
      <c r="A57" s="98"/>
      <c r="B57" s="44" t="s">
        <v>3</v>
      </c>
      <c r="C57" s="44" t="s">
        <v>4</v>
      </c>
      <c r="D57" s="44" t="s">
        <v>19</v>
      </c>
      <c r="E57" s="44" t="s">
        <v>20</v>
      </c>
      <c r="F57" s="44" t="s">
        <v>21</v>
      </c>
      <c r="G57" s="100" t="s">
        <v>22</v>
      </c>
      <c r="H57" s="100"/>
      <c r="I57" s="100" t="s">
        <v>23</v>
      </c>
      <c r="J57" s="100"/>
      <c r="K57" s="100" t="s">
        <v>10</v>
      </c>
      <c r="L57" s="100"/>
      <c r="M57" s="45" t="s">
        <v>11</v>
      </c>
      <c r="N57" s="45" t="s">
        <v>12</v>
      </c>
      <c r="O57" s="45" t="s">
        <v>13</v>
      </c>
    </row>
    <row r="58" spans="1:26">
      <c r="A58" s="98"/>
      <c r="B58" s="46" t="s">
        <v>18</v>
      </c>
      <c r="C58" s="49">
        <v>45977</v>
      </c>
      <c r="D58" s="47">
        <f ca="1">OFFSET('CBPTINTK-17774 Annual Mortgage '!$C$45,10,3)</f>
        <v>0.8168016194331984</v>
      </c>
      <c r="E58" s="46" t="s">
        <v>64</v>
      </c>
      <c r="F58" s="46" t="s">
        <v>65</v>
      </c>
      <c r="G58" s="48">
        <f ca="1">SUM(OFFSET('CBPTINTK-17774 Annual Mortgage '!$C$45,1,0):OFFSET('CBPTINTK-17774 Annual Mortgage '!$C$45,1,1))</f>
        <v>988</v>
      </c>
      <c r="H58" s="46"/>
      <c r="I58" s="48">
        <f ca="1">SUM(OFFSET('CBPTINTK-17774 Annual Mortgage '!$C$45,3,0):OFFSET('CBPTINTK-17774 Annual Mortgage '!$C$45,3,1))</f>
        <v>819</v>
      </c>
      <c r="J58" s="46"/>
      <c r="K58" s="48">
        <f ca="1">OFFSET('CBPTINTK-17774 Annual Mortgage '!$A$104,11,5)-SUM(OFFSET('CBPTINTK-17774 Annual Mortgage '!$A$104,10,5):OFFSET('CBPTINTK-17774 Annual Mortgage '!$A$104,8,5))</f>
        <v>6</v>
      </c>
      <c r="L58" s="46"/>
      <c r="M58" s="48">
        <f ca="1">SUM(OFFSET('CBPTINTK-17774 Annual Mortgage '!$A$104,2,1):OFFSET('CBPTINTK-17774 Annual Mortgage '!$A$104,7,1))</f>
        <v>0</v>
      </c>
      <c r="N58" s="48">
        <f ca="1">SUM(OFFSET('CBPTINTK-17774 Annual Mortgage '!$A$104,2,2):OFFSET('CBPTINTK-17774 Annual Mortgage '!$A$104,7,2))</f>
        <v>6</v>
      </c>
      <c r="O58" s="48">
        <f ca="1">SUM(OFFSET('CBPTINTK-17774 Annual Mortgage '!$A$104,2,3):OFFSET('CBPTINTK-17774 Annual Mortgage '!$A$104,7,3))</f>
        <v>0</v>
      </c>
    </row>
    <row r="59" spans="1:26" ht="14.1">
      <c r="A59" s="97" t="s">
        <v>66</v>
      </c>
      <c r="B59" s="97"/>
      <c r="C59" s="97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</row>
    <row r="60" spans="1:26">
      <c r="A60" s="98" t="s">
        <v>18</v>
      </c>
      <c r="B60" s="99" t="str">
        <f>IF('PBBT-13832 DM Relationship 4,5,'!A$11 = "", "", 'PBBT-13832 DM Relationship 4,5,'!A$11)</f>
        <v>Testing in progress</v>
      </c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99"/>
    </row>
    <row r="61" spans="1:26" ht="27" customHeight="1">
      <c r="A61" s="98"/>
      <c r="B61" s="44" t="s">
        <v>3</v>
      </c>
      <c r="C61" s="44" t="s">
        <v>4</v>
      </c>
      <c r="D61" s="44" t="s">
        <v>27</v>
      </c>
      <c r="E61" s="44" t="s">
        <v>28</v>
      </c>
      <c r="F61" s="44" t="s">
        <v>29</v>
      </c>
      <c r="G61" s="100" t="s">
        <v>30</v>
      </c>
      <c r="H61" s="100"/>
      <c r="I61" s="100" t="s">
        <v>31</v>
      </c>
      <c r="J61" s="100"/>
      <c r="K61" s="100" t="s">
        <v>10</v>
      </c>
      <c r="L61" s="100"/>
      <c r="M61" s="45" t="s">
        <v>11</v>
      </c>
      <c r="N61" s="45" t="s">
        <v>12</v>
      </c>
      <c r="O61" s="45" t="s">
        <v>13</v>
      </c>
    </row>
    <row r="62" spans="1:26">
      <c r="A62" s="98"/>
      <c r="B62" s="46" t="s">
        <v>18</v>
      </c>
      <c r="C62" s="49">
        <v>45977</v>
      </c>
      <c r="D62" s="47">
        <f ca="1">OFFSET('PBBT-13832 DM Relationship 4,5,'!$C$45,10,3)</f>
        <v>0.15</v>
      </c>
      <c r="E62" s="46" t="s">
        <v>67</v>
      </c>
      <c r="F62" s="46" t="s">
        <v>15</v>
      </c>
      <c r="G62" s="48">
        <f ca="1">SUM(OFFSET('PBBT-13832 DM Relationship 4,5,'!$C$45,1,0):OFFSET('PBBT-13832 DM Relationship 4,5,'!$C$45,1,1))</f>
        <v>40</v>
      </c>
      <c r="H62" s="46"/>
      <c r="I62" s="48">
        <f ca="1">SUM(OFFSET('PBBT-13832 DM Relationship 4,5,'!$C$45,3,0):OFFSET('PBBT-13832 DM Relationship 4,5,'!$C$45,3,1))</f>
        <v>6</v>
      </c>
      <c r="J62" s="46"/>
      <c r="K62" s="48">
        <f ca="1">OFFSET('PBBT-13832 DM Relationship 4,5,'!$A$104,11,5)-SUM(OFFSET('PBBT-13832 DM Relationship 4,5,'!$A$104,10,5):OFFSET('PBBT-13832 DM Relationship 4,5,'!$A$104,8,5))</f>
        <v>0</v>
      </c>
      <c r="L62" s="46"/>
      <c r="M62" s="48">
        <f ca="1">SUM(OFFSET('PBBT-13832 DM Relationship 4,5,'!$A$104,2,1):OFFSET('PBBT-13832 DM Relationship 4,5,'!$A$104,7,1))</f>
        <v>0</v>
      </c>
      <c r="N62" s="48">
        <f ca="1">SUM(OFFSET('PBBT-13832 DM Relationship 4,5,'!$A$104,2,2):OFFSET('PBBT-13832 DM Relationship 4,5,'!$A$104,7,2))</f>
        <v>0</v>
      </c>
      <c r="O62" s="48">
        <f ca="1">SUM(OFFSET('PBBT-13832 DM Relationship 4,5,'!$A$104,2,3):OFFSET('PBBT-13832 DM Relationship 4,5,'!$A$104,7,3))</f>
        <v>0</v>
      </c>
    </row>
    <row r="63" spans="1:26" ht="14.1">
      <c r="A63" s="97" t="s">
        <v>68</v>
      </c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</row>
    <row r="64" spans="1:26">
      <c r="A64" s="98" t="s">
        <v>18</v>
      </c>
      <c r="B64" s="99" t="str">
        <f>IF('CBPTINTK-23365 LCMS Funding Con'!A$11 = "", "", 'CBPTINTK-23365 LCMS Funding Con'!A$11)</f>
        <v>Testing in progress</v>
      </c>
      <c r="C64" s="99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</row>
    <row r="65" spans="1:15" ht="27" customHeight="1">
      <c r="A65" s="98"/>
      <c r="B65" s="44" t="s">
        <v>3</v>
      </c>
      <c r="C65" s="44" t="s">
        <v>4</v>
      </c>
      <c r="D65" s="44" t="s">
        <v>27</v>
      </c>
      <c r="E65" s="44" t="s">
        <v>28</v>
      </c>
      <c r="F65" s="44" t="s">
        <v>29</v>
      </c>
      <c r="G65" s="100" t="s">
        <v>30</v>
      </c>
      <c r="H65" s="100"/>
      <c r="I65" s="100" t="s">
        <v>31</v>
      </c>
      <c r="J65" s="100"/>
      <c r="K65" s="100" t="s">
        <v>10</v>
      </c>
      <c r="L65" s="100"/>
      <c r="M65" s="45" t="s">
        <v>11</v>
      </c>
      <c r="N65" s="45" t="s">
        <v>12</v>
      </c>
      <c r="O65" s="45" t="s">
        <v>13</v>
      </c>
    </row>
    <row r="66" spans="1:15">
      <c r="A66" s="98"/>
      <c r="B66" s="46" t="s">
        <v>18</v>
      </c>
      <c r="C66" s="49">
        <v>45977</v>
      </c>
      <c r="D66" s="47">
        <f ca="1">OFFSET('CBPTINTK-23365 LCMS Funding Con'!$C$45,10,3)</f>
        <v>0.08</v>
      </c>
      <c r="E66" s="46" t="s">
        <v>69</v>
      </c>
      <c r="F66" s="46" t="s">
        <v>15</v>
      </c>
      <c r="G66" s="48">
        <f ca="1">SUM(OFFSET('CBPTINTK-23365 LCMS Funding Con'!$C$45,1,0):OFFSET('CBPTINTK-23365 LCMS Funding Con'!$C$45,1,1))</f>
        <v>25</v>
      </c>
      <c r="H66" s="46"/>
      <c r="I66" s="48">
        <f ca="1">SUM(OFFSET('CBPTINTK-23365 LCMS Funding Con'!$C$45,3,0):OFFSET('CBPTINTK-23365 LCMS Funding Con'!$C$45,3,1))</f>
        <v>2</v>
      </c>
      <c r="J66" s="46"/>
      <c r="K66" s="48">
        <f ca="1">OFFSET('CBPTINTK-23365 LCMS Funding Con'!$A$104,11,5)-SUM(OFFSET('CBPTINTK-23365 LCMS Funding Con'!$A$104,10,5):OFFSET('CBPTINTK-23365 LCMS Funding Con'!$A$104,8,5))</f>
        <v>0</v>
      </c>
      <c r="L66" s="46"/>
      <c r="M66" s="48">
        <f ca="1">SUM(OFFSET('CBPTINTK-23365 LCMS Funding Con'!$A$104,2,1):OFFSET('CBPTINTK-23365 LCMS Funding Con'!$A$104,7,1))</f>
        <v>0</v>
      </c>
      <c r="N66" s="48">
        <f ca="1">SUM(OFFSET('CBPTINTK-23365 LCMS Funding Con'!$A$104,2,2):OFFSET('CBPTINTK-23365 LCMS Funding Con'!$A$104,7,2))</f>
        <v>0</v>
      </c>
      <c r="O66" s="48">
        <f ca="1">SUM(OFFSET('CBPTINTK-23365 LCMS Funding Con'!$A$104,2,3):OFFSET('CBPTINTK-23365 LCMS Funding Con'!$A$104,7,3))</f>
        <v>0</v>
      </c>
    </row>
    <row r="67" spans="1:15" ht="14.1">
      <c r="A67" s="97" t="s">
        <v>70</v>
      </c>
      <c r="B67" s="97"/>
      <c r="C67" s="97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</row>
    <row r="68" spans="1:15">
      <c r="A68" s="98" t="s">
        <v>18</v>
      </c>
      <c r="B68" s="99" t="str">
        <f>IF('CBPTINTK-3796 CLD &amp; Repricing L'!A$11 = "", "", 'CBPTINTK-3796 CLD &amp; Repricing L'!A$11)</f>
        <v>Testing in progress</v>
      </c>
      <c r="C68" s="99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</row>
    <row r="69" spans="1:15" ht="27" customHeight="1">
      <c r="A69" s="98"/>
      <c r="B69" s="44" t="s">
        <v>3</v>
      </c>
      <c r="C69" s="44" t="s">
        <v>4</v>
      </c>
      <c r="D69" s="44" t="s">
        <v>27</v>
      </c>
      <c r="E69" s="44" t="s">
        <v>28</v>
      </c>
      <c r="F69" s="44" t="s">
        <v>29</v>
      </c>
      <c r="G69" s="100" t="s">
        <v>30</v>
      </c>
      <c r="H69" s="100"/>
      <c r="I69" s="100" t="s">
        <v>31</v>
      </c>
      <c r="J69" s="100"/>
      <c r="K69" s="100" t="s">
        <v>10</v>
      </c>
      <c r="L69" s="100"/>
      <c r="M69" s="45" t="s">
        <v>11</v>
      </c>
      <c r="N69" s="45" t="s">
        <v>12</v>
      </c>
      <c r="O69" s="45" t="s">
        <v>13</v>
      </c>
    </row>
    <row r="70" spans="1:15">
      <c r="A70" s="98"/>
      <c r="B70" s="46" t="s">
        <v>18</v>
      </c>
      <c r="C70" s="49">
        <v>45977</v>
      </c>
      <c r="D70" s="47">
        <f ca="1">OFFSET('CBPTINTK-3796 CLD &amp; Repricing L'!$C$45,10,3)</f>
        <v>7.03125E-2</v>
      </c>
      <c r="E70" s="46" t="s">
        <v>71</v>
      </c>
      <c r="F70" s="46" t="s">
        <v>15</v>
      </c>
      <c r="G70" s="48">
        <f ca="1">SUM(OFFSET('CBPTINTK-3796 CLD &amp; Repricing L'!$C$45,1,0):OFFSET('CBPTINTK-3796 CLD &amp; Repricing L'!$C$45,1,1))</f>
        <v>128</v>
      </c>
      <c r="H70" s="46"/>
      <c r="I70" s="48">
        <f ca="1">SUM(OFFSET('CBPTINTK-3796 CLD &amp; Repricing L'!$C$45,3,0):OFFSET('CBPTINTK-3796 CLD &amp; Repricing L'!$C$45,3,1))</f>
        <v>13</v>
      </c>
      <c r="J70" s="46"/>
      <c r="K70" s="48">
        <f ca="1">OFFSET('CBPTINTK-3796 CLD &amp; Repricing L'!$A$104,11,5)-SUM(OFFSET('CBPTINTK-3796 CLD &amp; Repricing L'!$A$104,10,5):OFFSET('CBPTINTK-3796 CLD &amp; Repricing L'!$A$104,8,5))</f>
        <v>8</v>
      </c>
      <c r="L70" s="46"/>
      <c r="M70" s="48">
        <f ca="1">SUM(OFFSET('CBPTINTK-3796 CLD &amp; Repricing L'!$A$104,2,1):OFFSET('CBPTINTK-3796 CLD &amp; Repricing L'!$A$104,7,1))</f>
        <v>0</v>
      </c>
      <c r="N70" s="48">
        <f ca="1">SUM(OFFSET('CBPTINTK-3796 CLD &amp; Repricing L'!$A$104,2,2):OFFSET('CBPTINTK-3796 CLD &amp; Repricing L'!$A$104,7,2))</f>
        <v>0</v>
      </c>
      <c r="O70" s="48">
        <f ca="1">SUM(OFFSET('CBPTINTK-3796 CLD &amp; Repricing L'!$A$104,2,3):OFFSET('CBPTINTK-3796 CLD &amp; Repricing L'!$A$104,7,3))</f>
        <v>8</v>
      </c>
    </row>
    <row r="71" spans="1:15" ht="14.1" hidden="1">
      <c r="A71" s="97" t="s">
        <v>72</v>
      </c>
      <c r="B71" s="97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</row>
    <row r="72" spans="1:15" hidden="1">
      <c r="A72" s="98" t="s">
        <v>18</v>
      </c>
      <c r="B72" s="99" t="str">
        <f>IF('CBPTINTK-4356 CB Enhancements A'!A$11 = "", "", 'CBPTINTK-4356 CB Enhancements A'!A$11)</f>
        <v>Testing in progress</v>
      </c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</row>
    <row r="73" spans="1:15" ht="27" hidden="1">
      <c r="A73" s="98"/>
      <c r="B73" s="44" t="s">
        <v>3</v>
      </c>
      <c r="C73" s="44" t="s">
        <v>4</v>
      </c>
      <c r="D73" s="44" t="s">
        <v>19</v>
      </c>
      <c r="E73" s="44" t="s">
        <v>20</v>
      </c>
      <c r="F73" s="44" t="s">
        <v>21</v>
      </c>
      <c r="G73" s="100" t="s">
        <v>22</v>
      </c>
      <c r="H73" s="100"/>
      <c r="I73" s="100" t="s">
        <v>23</v>
      </c>
      <c r="J73" s="100"/>
      <c r="K73" s="100" t="s">
        <v>10</v>
      </c>
      <c r="L73" s="100"/>
      <c r="M73" s="45" t="s">
        <v>11</v>
      </c>
      <c r="N73" s="45" t="s">
        <v>12</v>
      </c>
      <c r="O73" s="45" t="s">
        <v>13</v>
      </c>
    </row>
    <row r="74" spans="1:15" hidden="1">
      <c r="A74" s="98"/>
      <c r="B74" s="46" t="s">
        <v>18</v>
      </c>
      <c r="C74" s="49">
        <v>45977</v>
      </c>
      <c r="D74" s="47">
        <f ca="1">OFFSET('CBPTINTK-4356 CB Enhancements A'!$C$45,10,3)</f>
        <v>8.3333333333333329E-2</v>
      </c>
      <c r="E74" s="46" t="s">
        <v>33</v>
      </c>
      <c r="F74" s="46" t="s">
        <v>34</v>
      </c>
      <c r="G74" s="48">
        <f ca="1">SUM(OFFSET('CBPTINTK-4356 CB Enhancements A'!$C$45,1,0):OFFSET('CBPTINTK-4356 CB Enhancements A'!$C$45,1,1))</f>
        <v>120</v>
      </c>
      <c r="H74" s="46"/>
      <c r="I74" s="48">
        <f ca="1">SUM(OFFSET('CBPTINTK-4356 CB Enhancements A'!$C$45,3,0):OFFSET('CBPTINTK-4356 CB Enhancements A'!$C$45,3,1))</f>
        <v>10</v>
      </c>
      <c r="J74" s="46"/>
      <c r="K74" s="48">
        <f ca="1">OFFSET('CBPTINTK-4356 CB Enhancements A'!$A$104,11,5)-SUM(OFFSET('CBPTINTK-4356 CB Enhancements A'!$A$104,10,5):OFFSET('CBPTINTK-4356 CB Enhancements A'!$A$104,8,5))</f>
        <v>0</v>
      </c>
      <c r="L74" s="46"/>
      <c r="M74" s="48">
        <f ca="1">SUM(OFFSET('CBPTINTK-4356 CB Enhancements A'!$A$104,2,1):OFFSET('CBPTINTK-4356 CB Enhancements A'!$A$104,7,1))</f>
        <v>0</v>
      </c>
      <c r="N74" s="48">
        <f ca="1">SUM(OFFSET('CBPTINTK-4356 CB Enhancements A'!$A$104,2,2):OFFSET('CBPTINTK-4356 CB Enhancements A'!$A$104,7,2))</f>
        <v>0</v>
      </c>
      <c r="O74" s="48">
        <f ca="1">SUM(OFFSET('CBPTINTK-4356 CB Enhancements A'!$A$104,2,3):OFFSET('CBPTINTK-4356 CB Enhancements A'!$A$104,7,3))</f>
        <v>0</v>
      </c>
    </row>
    <row r="75" spans="1:15" ht="14.1">
      <c r="A75" s="97" t="s">
        <v>73</v>
      </c>
      <c r="B75" s="97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</row>
    <row r="76" spans="1:15">
      <c r="A76" s="98" t="s">
        <v>18</v>
      </c>
      <c r="B76" s="99" t="str">
        <f>IF('CBPTINTK-3069 Project Guardian'!A$11 = "", "", 'CBPTINTK-3069 Project Guardian'!A$11)</f>
        <v>Testing in progress</v>
      </c>
      <c r="C76" s="99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</row>
    <row r="77" spans="1:15" ht="27" customHeight="1">
      <c r="A77" s="98"/>
      <c r="B77" s="44" t="s">
        <v>3</v>
      </c>
      <c r="C77" s="44" t="s">
        <v>4</v>
      </c>
      <c r="D77" s="44" t="s">
        <v>27</v>
      </c>
      <c r="E77" s="44" t="s">
        <v>28</v>
      </c>
      <c r="F77" s="44" t="s">
        <v>29</v>
      </c>
      <c r="G77" s="100" t="s">
        <v>30</v>
      </c>
      <c r="H77" s="100"/>
      <c r="I77" s="100" t="s">
        <v>31</v>
      </c>
      <c r="J77" s="100"/>
      <c r="K77" s="100" t="s">
        <v>10</v>
      </c>
      <c r="L77" s="100"/>
      <c r="M77" s="45" t="s">
        <v>11</v>
      </c>
      <c r="N77" s="45" t="s">
        <v>12</v>
      </c>
      <c r="O77" s="45" t="s">
        <v>13</v>
      </c>
    </row>
    <row r="78" spans="1:15">
      <c r="A78" s="98"/>
      <c r="B78" s="46" t="s">
        <v>18</v>
      </c>
      <c r="C78" s="49">
        <v>45977</v>
      </c>
      <c r="D78" s="47">
        <f ca="1">OFFSET('CBPTINTK-3069 Project Guardian'!$C$45,10,3)</f>
        <v>0.24526315789473685</v>
      </c>
      <c r="E78" s="46" t="s">
        <v>74</v>
      </c>
      <c r="F78" s="46" t="s">
        <v>56</v>
      </c>
      <c r="G78" s="48">
        <f ca="1">SUM(OFFSET('CBPTINTK-3069 Project Guardian'!$C$45,1,0):OFFSET('CBPTINTK-3069 Project Guardian'!$C$45,1,1))</f>
        <v>950</v>
      </c>
      <c r="H78" s="46"/>
      <c r="I78" s="48">
        <f ca="1">SUM(OFFSET('CBPTINTK-3069 Project Guardian'!$C$45,3,0):OFFSET('CBPTINTK-3069 Project Guardian'!$C$45,3,1))</f>
        <v>238</v>
      </c>
      <c r="J78" s="46"/>
      <c r="K78" s="48">
        <f ca="1">OFFSET('CBPTINTK-3069 Project Guardian'!$A$104,11,5)-SUM(OFFSET('CBPTINTK-3069 Project Guardian'!$A$104,10,5):OFFSET('CBPTINTK-3069 Project Guardian'!$A$104,8,5))</f>
        <v>10</v>
      </c>
      <c r="L78" s="46"/>
      <c r="M78" s="48">
        <f ca="1">SUM(OFFSET('CBPTINTK-3069 Project Guardian'!$A$104,2,1):OFFSET('CBPTINTK-3069 Project Guardian'!$A$104,7,1))</f>
        <v>0</v>
      </c>
      <c r="N78" s="48">
        <f ca="1">SUM(OFFSET('CBPTINTK-3069 Project Guardian'!$A$104,2,2):OFFSET('CBPTINTK-3069 Project Guardian'!$A$104,7,2))</f>
        <v>7</v>
      </c>
      <c r="O78" s="48">
        <f ca="1">SUM(OFFSET('CBPTINTK-3069 Project Guardian'!$A$104,2,3):OFFSET('CBPTINTK-3069 Project Guardian'!$A$104,7,3))</f>
        <v>3</v>
      </c>
    </row>
    <row r="79" spans="1:15" ht="14.1">
      <c r="A79" s="97" t="s">
        <v>75</v>
      </c>
      <c r="B79" s="97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</row>
    <row r="80" spans="1:15">
      <c r="A80" s="98" t="s">
        <v>18</v>
      </c>
      <c r="B80" s="99" t="str">
        <f>IF('CBPTINT - 3291 CLP MVP 1 Renewa'!A$11 = "", "", 'CBPTINT - 3291 CLP MVP 1 Renewa'!A$11)</f>
        <v>Testing in progress</v>
      </c>
      <c r="C80" s="99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</row>
    <row r="81" spans="1:15" ht="24.6" customHeight="1">
      <c r="A81" s="98"/>
      <c r="B81" s="44" t="s">
        <v>3</v>
      </c>
      <c r="C81" s="44" t="s">
        <v>4</v>
      </c>
      <c r="D81" s="44" t="s">
        <v>27</v>
      </c>
      <c r="E81" s="44" t="s">
        <v>28</v>
      </c>
      <c r="F81" s="44" t="s">
        <v>29</v>
      </c>
      <c r="G81" s="100" t="s">
        <v>30</v>
      </c>
      <c r="H81" s="100"/>
      <c r="I81" s="100" t="s">
        <v>31</v>
      </c>
      <c r="J81" s="100"/>
      <c r="K81" s="100" t="s">
        <v>10</v>
      </c>
      <c r="L81" s="100"/>
      <c r="M81" s="45" t="s">
        <v>11</v>
      </c>
      <c r="N81" s="45" t="s">
        <v>12</v>
      </c>
      <c r="O81" s="45" t="s">
        <v>13</v>
      </c>
    </row>
    <row r="82" spans="1:15">
      <c r="A82" s="98"/>
      <c r="B82" s="46" t="s">
        <v>18</v>
      </c>
      <c r="C82" s="49">
        <v>45977</v>
      </c>
      <c r="D82" s="47">
        <f ca="1">OFFSET('CBPTINT - 3291 CLP MVP 1 Renewa'!$C$45,10,3)</f>
        <v>0.17948717948717949</v>
      </c>
      <c r="E82" s="46" t="s">
        <v>76</v>
      </c>
      <c r="F82" s="46" t="s">
        <v>56</v>
      </c>
      <c r="G82" s="48">
        <f ca="1">SUM(OFFSET('CBPTINT - 3291 CLP MVP 1 Renewa'!$C$45,1,0):OFFSET('CBPTINT - 3291 CLP MVP 1 Renewa'!$C$45,1,1))</f>
        <v>195</v>
      </c>
      <c r="H82" s="46"/>
      <c r="I82" s="48">
        <f ca="1">SUM(OFFSET('CBPTINT - 3291 CLP MVP 1 Renewa'!$C$45,3,0):OFFSET('CBPTINT - 3291 CLP MVP 1 Renewa'!$C$45,3,1))</f>
        <v>35</v>
      </c>
      <c r="J82" s="46"/>
      <c r="K82" s="48">
        <f ca="1">OFFSET('CBPTINT - 3291 CLP MVP 1 Renewa'!$A$104,11,5)-SUM(OFFSET('CBPTINT - 3291 CLP MVP 1 Renewa'!$A$104,10,5):OFFSET('CBPTINT - 3291 CLP MVP 1 Renewa'!$A$104,8,5))</f>
        <v>1</v>
      </c>
      <c r="L82" s="46"/>
      <c r="M82" s="48">
        <f ca="1">SUM(OFFSET('CBPTINT - 3291 CLP MVP 1 Renewa'!$A$104,2,1):OFFSET('CBPTINT - 3291 CLP MVP 1 Renewa'!$A$104,7,1))</f>
        <v>0</v>
      </c>
      <c r="N82" s="48">
        <f ca="1">SUM(OFFSET('CBPTINT - 3291 CLP MVP 1 Renewa'!$A$104,2,2):OFFSET('CBPTINT - 3291 CLP MVP 1 Renewa'!$A$104,7,2))</f>
        <v>1</v>
      </c>
      <c r="O82" s="48">
        <f ca="1">SUM(OFFSET('CBPTINT - 3291 CLP MVP 1 Renewa'!$A$104,2,3):OFFSET('CBPTINT - 3291 CLP MVP 1 Renewa'!$A$104,7,3))</f>
        <v>0</v>
      </c>
    </row>
    <row r="83" spans="1:15" ht="14.1">
      <c r="A83" s="97" t="s">
        <v>77</v>
      </c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</row>
    <row r="84" spans="1:15">
      <c r="A84" s="98" t="s">
        <v>18</v>
      </c>
      <c r="B84" s="99" t="str">
        <f>IF('POS Release 43'!A$11 = "", "", 'POS Release 43'!A$11)</f>
        <v>Testing in progress</v>
      </c>
      <c r="C84" s="99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</row>
    <row r="85" spans="1:15" ht="24.95" customHeight="1">
      <c r="A85" s="98"/>
      <c r="B85" s="44" t="s">
        <v>3</v>
      </c>
      <c r="C85" s="44" t="s">
        <v>4</v>
      </c>
      <c r="D85" s="44" t="s">
        <v>19</v>
      </c>
      <c r="E85" s="44" t="s">
        <v>20</v>
      </c>
      <c r="F85" s="44" t="s">
        <v>21</v>
      </c>
      <c r="G85" s="100" t="s">
        <v>22</v>
      </c>
      <c r="H85" s="100"/>
      <c r="I85" s="100" t="s">
        <v>23</v>
      </c>
      <c r="J85" s="100"/>
      <c r="K85" s="100" t="s">
        <v>10</v>
      </c>
      <c r="L85" s="100"/>
      <c r="M85" s="45" t="s">
        <v>11</v>
      </c>
      <c r="N85" s="45" t="s">
        <v>12</v>
      </c>
      <c r="O85" s="45" t="s">
        <v>13</v>
      </c>
    </row>
    <row r="86" spans="1:15">
      <c r="A86" s="98"/>
      <c r="B86" s="46" t="s">
        <v>18</v>
      </c>
      <c r="C86" s="49">
        <v>45997</v>
      </c>
      <c r="D86" s="47">
        <f ca="1">OFFSET('POS Release 43'!$C$45,10,3)</f>
        <v>0.98565840938722293</v>
      </c>
      <c r="E86" s="46" t="s">
        <v>78</v>
      </c>
      <c r="F86" s="46" t="s">
        <v>79</v>
      </c>
      <c r="G86" s="48">
        <f ca="1">SUM(OFFSET('POS Release 43'!$C$45,1,0):OFFSET('POS Release 43'!$C$45,1,1))</f>
        <v>767</v>
      </c>
      <c r="H86" s="46"/>
      <c r="I86" s="48">
        <f ca="1">SUM(OFFSET('POS Release 43'!$C$45,3,0):OFFSET('POS Release 43'!$C$45,3,1))</f>
        <v>757</v>
      </c>
      <c r="J86" s="46"/>
      <c r="K86" s="48">
        <f ca="1">OFFSET('POS Release 43'!$A$104,11,5)-SUM(OFFSET('POS Release 43'!$A$104,10,5):OFFSET('POS Release 43'!$A$104,8,5))</f>
        <v>2</v>
      </c>
      <c r="L86" s="46"/>
      <c r="M86" s="48">
        <f ca="1">SUM(OFFSET('POS Release 43'!$A$104,2,1):OFFSET('POS Release 43'!$A$104,7,1))</f>
        <v>0</v>
      </c>
      <c r="N86" s="48">
        <f ca="1">SUM(OFFSET('POS Release 43'!$A$104,2,2):OFFSET('POS Release 43'!$A$104,7,2))</f>
        <v>1</v>
      </c>
      <c r="O86" s="48">
        <f ca="1">SUM(OFFSET('POS Release 43'!$A$104,2,3):OFFSET('POS Release 43'!$A$104,7,3))</f>
        <v>1</v>
      </c>
    </row>
    <row r="87" spans="1:15" ht="14.1" hidden="1">
      <c r="A87" s="97" t="s">
        <v>80</v>
      </c>
      <c r="B87" s="97"/>
      <c r="C87" s="97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</row>
    <row r="88" spans="1:15" hidden="1">
      <c r="A88" s="98" t="s">
        <v>81</v>
      </c>
      <c r="B88" s="99" t="str">
        <f>IF('ATM PH Release 37.5'!A$11 = "", "", 'ATM PH Release 37.5'!A$11)</f>
        <v>Testing complete</v>
      </c>
      <c r="C88" s="99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</row>
    <row r="89" spans="1:15" ht="26.45" hidden="1" customHeight="1">
      <c r="A89" s="98"/>
      <c r="B89" s="44" t="s">
        <v>3</v>
      </c>
      <c r="C89" s="44" t="s">
        <v>4</v>
      </c>
      <c r="D89" s="44" t="s">
        <v>5</v>
      </c>
      <c r="E89" s="44" t="s">
        <v>6</v>
      </c>
      <c r="F89" s="44" t="s">
        <v>7</v>
      </c>
      <c r="G89" s="100" t="s">
        <v>8</v>
      </c>
      <c r="H89" s="100"/>
      <c r="I89" s="100" t="s">
        <v>9</v>
      </c>
      <c r="J89" s="100"/>
      <c r="K89" s="100" t="s">
        <v>10</v>
      </c>
      <c r="L89" s="100"/>
      <c r="M89" s="45" t="s">
        <v>11</v>
      </c>
      <c r="N89" s="45" t="s">
        <v>12</v>
      </c>
      <c r="O89" s="45" t="s">
        <v>13</v>
      </c>
    </row>
    <row r="90" spans="1:15" hidden="1">
      <c r="A90" s="98"/>
      <c r="B90" s="46" t="s">
        <v>81</v>
      </c>
      <c r="C90" s="49">
        <v>45935</v>
      </c>
      <c r="D90" s="47">
        <f ca="1">OFFSET('ATM PH Release 37.5'!$C$45,10,3)</f>
        <v>1</v>
      </c>
      <c r="E90" s="46" t="s">
        <v>82</v>
      </c>
      <c r="F90" s="46" t="s">
        <v>82</v>
      </c>
      <c r="G90" s="48">
        <f ca="1">SUM(OFFSET('ATM PH Release 37.5'!$C$45,1,0):OFFSET('ATM PH Release 37.5'!$C$45,1,1))</f>
        <v>26</v>
      </c>
      <c r="H90" s="46"/>
      <c r="I90" s="48">
        <f ca="1">SUM(OFFSET('ATM PH Release 37.5'!$C$45,3,0):OFFSET('ATM PH Release 37.5'!$C$45,3,1))</f>
        <v>26</v>
      </c>
      <c r="J90" s="46"/>
      <c r="K90" s="48">
        <f ca="1">OFFSET('ATM PH Release 37.5'!$A$104,11,5)-SUM(OFFSET('ATM PH Release 37.5'!$A$104,10,5):OFFSET('ATM PH Release 37.5'!$A$104,8,5))</f>
        <v>0</v>
      </c>
      <c r="L90" s="46"/>
      <c r="M90" s="48">
        <f ca="1">SUM(OFFSET('ATM PH Release 37.5'!$A$104,2,1):OFFSET('ATM PH Release 37.5'!$A$104,7,1))</f>
        <v>0</v>
      </c>
      <c r="N90" s="48">
        <f ca="1">SUM(OFFSET('ATM PH Release 37.5'!$A$104,2,2):OFFSET('ATM PH Release 37.5'!$A$104,7,2))</f>
        <v>0</v>
      </c>
      <c r="O90" s="48">
        <f ca="1">SUM(OFFSET('ATM PH Release 37.5'!$A$104,2,3):OFFSET('ATM PH Release 37.5'!$A$104,7,3))</f>
        <v>0</v>
      </c>
    </row>
  </sheetData>
  <sheetProtection formatColumns="0" selectLockedCells="1" selectUnlockedCells="1"/>
  <mergeCells count="133">
    <mergeCell ref="A3:O3"/>
    <mergeCell ref="A4:A6"/>
    <mergeCell ref="B4:O4"/>
    <mergeCell ref="G5:H5"/>
    <mergeCell ref="I5:J5"/>
    <mergeCell ref="K5:L5"/>
    <mergeCell ref="A39:O39"/>
    <mergeCell ref="A40:A42"/>
    <mergeCell ref="B40:O40"/>
    <mergeCell ref="G41:H41"/>
    <mergeCell ref="I41:J41"/>
    <mergeCell ref="K41:L41"/>
    <mergeCell ref="A7:O7"/>
    <mergeCell ref="A8:A10"/>
    <mergeCell ref="B8:O8"/>
    <mergeCell ref="G9:H9"/>
    <mergeCell ref="I9:J9"/>
    <mergeCell ref="K9:L9"/>
    <mergeCell ref="A27:O27"/>
    <mergeCell ref="A28:A30"/>
    <mergeCell ref="B28:O28"/>
    <mergeCell ref="G29:H29"/>
    <mergeCell ref="I29:J29"/>
    <mergeCell ref="K29:L29"/>
    <mergeCell ref="A11:O11"/>
    <mergeCell ref="A12:A14"/>
    <mergeCell ref="B12:O12"/>
    <mergeCell ref="G13:H13"/>
    <mergeCell ref="I13:J13"/>
    <mergeCell ref="K13:L13"/>
    <mergeCell ref="G17:H17"/>
    <mergeCell ref="I17:J17"/>
    <mergeCell ref="K17:L17"/>
    <mergeCell ref="A67:O67"/>
    <mergeCell ref="A68:A70"/>
    <mergeCell ref="B68:O68"/>
    <mergeCell ref="G69:H69"/>
    <mergeCell ref="I69:J69"/>
    <mergeCell ref="K69:L69"/>
    <mergeCell ref="A55:O55"/>
    <mergeCell ref="A56:A58"/>
    <mergeCell ref="B56:O56"/>
    <mergeCell ref="G57:H57"/>
    <mergeCell ref="I57:J57"/>
    <mergeCell ref="K57:L57"/>
    <mergeCell ref="A59:O59"/>
    <mergeCell ref="A60:A62"/>
    <mergeCell ref="B60:O60"/>
    <mergeCell ref="G61:H61"/>
    <mergeCell ref="I61:J61"/>
    <mergeCell ref="K61:L61"/>
    <mergeCell ref="A63:O63"/>
    <mergeCell ref="A64:A66"/>
    <mergeCell ref="B64:O64"/>
    <mergeCell ref="G65:H65"/>
    <mergeCell ref="I65:J65"/>
    <mergeCell ref="K65:L65"/>
    <mergeCell ref="A23:O23"/>
    <mergeCell ref="A24:A26"/>
    <mergeCell ref="B24:O24"/>
    <mergeCell ref="G25:H25"/>
    <mergeCell ref="I25:J25"/>
    <mergeCell ref="K25:L25"/>
    <mergeCell ref="A47:O47"/>
    <mergeCell ref="A48:A50"/>
    <mergeCell ref="B48:O48"/>
    <mergeCell ref="G49:H49"/>
    <mergeCell ref="I49:J49"/>
    <mergeCell ref="K49:L49"/>
    <mergeCell ref="A43:O43"/>
    <mergeCell ref="A44:A46"/>
    <mergeCell ref="B44:O44"/>
    <mergeCell ref="G45:H45"/>
    <mergeCell ref="I45:J45"/>
    <mergeCell ref="K45:L45"/>
    <mergeCell ref="A19:O19"/>
    <mergeCell ref="A20:A22"/>
    <mergeCell ref="B20:O20"/>
    <mergeCell ref="G21:H21"/>
    <mergeCell ref="I21:J21"/>
    <mergeCell ref="K21:L21"/>
    <mergeCell ref="A51:O51"/>
    <mergeCell ref="A52:A54"/>
    <mergeCell ref="B52:O52"/>
    <mergeCell ref="G53:H53"/>
    <mergeCell ref="I53:J53"/>
    <mergeCell ref="K53:L53"/>
    <mergeCell ref="K33:L33"/>
    <mergeCell ref="A31:O31"/>
    <mergeCell ref="A32:A34"/>
    <mergeCell ref="B32:O32"/>
    <mergeCell ref="G33:H33"/>
    <mergeCell ref="I33:J33"/>
    <mergeCell ref="A1:O2"/>
    <mergeCell ref="A83:O83"/>
    <mergeCell ref="A84:A86"/>
    <mergeCell ref="B84:O84"/>
    <mergeCell ref="G85:H85"/>
    <mergeCell ref="I85:J85"/>
    <mergeCell ref="K85:L85"/>
    <mergeCell ref="A15:O15"/>
    <mergeCell ref="A16:A18"/>
    <mergeCell ref="B16:O16"/>
    <mergeCell ref="A75:O75"/>
    <mergeCell ref="B76:O76"/>
    <mergeCell ref="A35:O35"/>
    <mergeCell ref="A36:A38"/>
    <mergeCell ref="I37:J37"/>
    <mergeCell ref="K37:L37"/>
    <mergeCell ref="A71:O71"/>
    <mergeCell ref="A72:A74"/>
    <mergeCell ref="B72:O72"/>
    <mergeCell ref="G73:H73"/>
    <mergeCell ref="I73:J73"/>
    <mergeCell ref="K73:L73"/>
    <mergeCell ref="B36:O36"/>
    <mergeCell ref="G37:H37"/>
    <mergeCell ref="A87:O87"/>
    <mergeCell ref="A88:A90"/>
    <mergeCell ref="B88:O88"/>
    <mergeCell ref="G77:H77"/>
    <mergeCell ref="I77:J77"/>
    <mergeCell ref="K77:L77"/>
    <mergeCell ref="G89:H89"/>
    <mergeCell ref="I89:J89"/>
    <mergeCell ref="K89:L89"/>
    <mergeCell ref="A79:O79"/>
    <mergeCell ref="A80:A82"/>
    <mergeCell ref="B80:O80"/>
    <mergeCell ref="G81:H81"/>
    <mergeCell ref="I81:J81"/>
    <mergeCell ref="K81:L81"/>
    <mergeCell ref="A76:A78"/>
  </mergeCells>
  <phoneticPr fontId="27" type="noConversion"/>
  <conditionalFormatting sqref="B75:C90 B15:C18">
    <cfRule type="cellIs" dxfId="346" priority="366" operator="equal">
      <formula>"G"</formula>
    </cfRule>
  </conditionalFormatting>
  <conditionalFormatting sqref="B75:C90 B15:C18">
    <cfRule type="cellIs" dxfId="345" priority="364" operator="equal">
      <formula>"R"</formula>
    </cfRule>
    <cfRule type="cellIs" dxfId="344" priority="365" operator="equal">
      <formula>"Y"</formula>
    </cfRule>
  </conditionalFormatting>
  <conditionalFormatting sqref="B86:C90 A84">
    <cfRule type="cellIs" dxfId="343" priority="72" operator="equal">
      <formula>"G"</formula>
    </cfRule>
  </conditionalFormatting>
  <conditionalFormatting sqref="A84 B86:C90">
    <cfRule type="cellIs" dxfId="342" priority="70" operator="equal">
      <formula>"R"</formula>
    </cfRule>
    <cfRule type="cellIs" dxfId="341" priority="71" operator="equal">
      <formula>"Y"</formula>
    </cfRule>
  </conditionalFormatting>
  <conditionalFormatting sqref="A88">
    <cfRule type="cellIs" dxfId="340" priority="69" operator="equal">
      <formula>"G"</formula>
    </cfRule>
  </conditionalFormatting>
  <conditionalFormatting sqref="A88">
    <cfRule type="cellIs" dxfId="339" priority="67" operator="equal">
      <formula>"R"</formula>
    </cfRule>
    <cfRule type="cellIs" dxfId="338" priority="68" operator="equal">
      <formula>"Y"</formula>
    </cfRule>
  </conditionalFormatting>
  <conditionalFormatting sqref="B82:C90 A80">
    <cfRule type="cellIs" dxfId="337" priority="66" operator="equal">
      <formula>"G"</formula>
    </cfRule>
  </conditionalFormatting>
  <conditionalFormatting sqref="A80 B82:C90">
    <cfRule type="cellIs" dxfId="336" priority="64" operator="equal">
      <formula>"R"</formula>
    </cfRule>
    <cfRule type="cellIs" dxfId="335" priority="65" operator="equal">
      <formula>"Y"</formula>
    </cfRule>
  </conditionalFormatting>
  <conditionalFormatting sqref="B78:C90 A76">
    <cfRule type="cellIs" dxfId="334" priority="57" operator="equal">
      <formula>"G"</formula>
    </cfRule>
  </conditionalFormatting>
  <conditionalFormatting sqref="A76 B78:C90">
    <cfRule type="cellIs" dxfId="333" priority="55" operator="equal">
      <formula>"R"</formula>
    </cfRule>
    <cfRule type="cellIs" dxfId="332" priority="56" operator="equal">
      <formula>"Y"</formula>
    </cfRule>
  </conditionalFormatting>
  <conditionalFormatting sqref="B18:C18 A16">
    <cfRule type="cellIs" dxfId="331" priority="54" operator="equal">
      <formula>"G"</formula>
    </cfRule>
  </conditionalFormatting>
  <conditionalFormatting sqref="A16 B18:C18">
    <cfRule type="cellIs" dxfId="330" priority="52" operator="equal">
      <formula>"R"</formula>
    </cfRule>
    <cfRule type="cellIs" dxfId="329" priority="53" operator="equal">
      <formula>"Y"</formula>
    </cfRule>
  </conditionalFormatting>
  <conditionalFormatting sqref="B74:C74 A72">
    <cfRule type="cellIs" dxfId="328" priority="51" operator="equal">
      <formula>"G"</formula>
    </cfRule>
  </conditionalFormatting>
  <conditionalFormatting sqref="A72 B74:C74">
    <cfRule type="cellIs" dxfId="327" priority="49" operator="equal">
      <formula>"R"</formula>
    </cfRule>
    <cfRule type="cellIs" dxfId="326" priority="50" operator="equal">
      <formula>"Y"</formula>
    </cfRule>
  </conditionalFormatting>
  <conditionalFormatting sqref="B70:C70 A68">
    <cfRule type="cellIs" dxfId="325" priority="48" operator="equal">
      <formula>"G"</formula>
    </cfRule>
  </conditionalFormatting>
  <conditionalFormatting sqref="A68 B70:C70">
    <cfRule type="cellIs" dxfId="324" priority="46" operator="equal">
      <formula>"R"</formula>
    </cfRule>
    <cfRule type="cellIs" dxfId="323" priority="47" operator="equal">
      <formula>"Y"</formula>
    </cfRule>
  </conditionalFormatting>
  <conditionalFormatting sqref="B66:C66 A64">
    <cfRule type="cellIs" dxfId="322" priority="45" operator="equal">
      <formula>"G"</formula>
    </cfRule>
  </conditionalFormatting>
  <conditionalFormatting sqref="A64 B66:C66">
    <cfRule type="cellIs" dxfId="321" priority="43" operator="equal">
      <formula>"R"</formula>
    </cfRule>
    <cfRule type="cellIs" dxfId="320" priority="44" operator="equal">
      <formula>"Y"</formula>
    </cfRule>
  </conditionalFormatting>
  <conditionalFormatting sqref="B62:C62 A60">
    <cfRule type="cellIs" dxfId="319" priority="42" operator="equal">
      <formula>"G"</formula>
    </cfRule>
  </conditionalFormatting>
  <conditionalFormatting sqref="A60 B62:C62">
    <cfRule type="cellIs" dxfId="318" priority="40" operator="equal">
      <formula>"R"</formula>
    </cfRule>
    <cfRule type="cellIs" dxfId="317" priority="41" operator="equal">
      <formula>"Y"</formula>
    </cfRule>
  </conditionalFormatting>
  <conditionalFormatting sqref="B26:C38 A24">
    <cfRule type="cellIs" dxfId="316" priority="39" operator="equal">
      <formula>"G"</formula>
    </cfRule>
  </conditionalFormatting>
  <conditionalFormatting sqref="A24 B26:C38">
    <cfRule type="cellIs" dxfId="315" priority="37" operator="equal">
      <formula>"R"</formula>
    </cfRule>
    <cfRule type="cellIs" dxfId="314" priority="38" operator="equal">
      <formula>"Y"</formula>
    </cfRule>
  </conditionalFormatting>
  <conditionalFormatting sqref="B58:C58 A56">
    <cfRule type="cellIs" dxfId="313" priority="36" operator="equal">
      <formula>"G"</formula>
    </cfRule>
  </conditionalFormatting>
  <conditionalFormatting sqref="A56 B58:C58">
    <cfRule type="cellIs" dxfId="312" priority="34" operator="equal">
      <formula>"R"</formula>
    </cfRule>
    <cfRule type="cellIs" dxfId="311" priority="35" operator="equal">
      <formula>"Y"</formula>
    </cfRule>
  </conditionalFormatting>
  <conditionalFormatting sqref="B54:C54 A52">
    <cfRule type="cellIs" dxfId="310" priority="33" operator="equal">
      <formula>"G"</formula>
    </cfRule>
  </conditionalFormatting>
  <conditionalFormatting sqref="A52 B54:C54">
    <cfRule type="cellIs" dxfId="309" priority="31" operator="equal">
      <formula>"R"</formula>
    </cfRule>
    <cfRule type="cellIs" dxfId="308" priority="32" operator="equal">
      <formula>"Y"</formula>
    </cfRule>
  </conditionalFormatting>
  <conditionalFormatting sqref="B22:C50 A20">
    <cfRule type="cellIs" dxfId="307" priority="30" operator="equal">
      <formula>"G"</formula>
    </cfRule>
  </conditionalFormatting>
  <conditionalFormatting sqref="A20 B22:C50">
    <cfRule type="cellIs" dxfId="306" priority="28" operator="equal">
      <formula>"R"</formula>
    </cfRule>
    <cfRule type="cellIs" dxfId="305" priority="29" operator="equal">
      <formula>"Y"</formula>
    </cfRule>
  </conditionalFormatting>
  <conditionalFormatting sqref="B14:C18 A12">
    <cfRule type="cellIs" dxfId="304" priority="27" operator="equal">
      <formula>"G"</formula>
    </cfRule>
  </conditionalFormatting>
  <conditionalFormatting sqref="A12 B14:C18">
    <cfRule type="cellIs" dxfId="303" priority="25" operator="equal">
      <formula>"R"</formula>
    </cfRule>
    <cfRule type="cellIs" dxfId="302" priority="26" operator="equal">
      <formula>"Y"</formula>
    </cfRule>
  </conditionalFormatting>
  <conditionalFormatting sqref="B34:C38 A32">
    <cfRule type="cellIs" dxfId="301" priority="24" operator="equal">
      <formula>"G"</formula>
    </cfRule>
  </conditionalFormatting>
  <conditionalFormatting sqref="A32 B34:C38">
    <cfRule type="cellIs" dxfId="300" priority="22" operator="equal">
      <formula>"R"</formula>
    </cfRule>
    <cfRule type="cellIs" dxfId="299" priority="23" operator="equal">
      <formula>"Y"</formula>
    </cfRule>
  </conditionalFormatting>
  <conditionalFormatting sqref="B38:C38 A36">
    <cfRule type="cellIs" dxfId="298" priority="21" operator="equal">
      <formula>"G"</formula>
    </cfRule>
  </conditionalFormatting>
  <conditionalFormatting sqref="A36 B38:C38">
    <cfRule type="cellIs" dxfId="297" priority="19" operator="equal">
      <formula>"R"</formula>
    </cfRule>
    <cfRule type="cellIs" dxfId="296" priority="20" operator="equal">
      <formula>"Y"</formula>
    </cfRule>
  </conditionalFormatting>
  <conditionalFormatting sqref="B30:C30 A28">
    <cfRule type="cellIs" dxfId="295" priority="18" operator="equal">
      <formula>"G"</formula>
    </cfRule>
  </conditionalFormatting>
  <conditionalFormatting sqref="A28 B30:C30">
    <cfRule type="cellIs" dxfId="294" priority="16" operator="equal">
      <formula>"R"</formula>
    </cfRule>
    <cfRule type="cellIs" dxfId="293" priority="17" operator="equal">
      <formula>"Y"</formula>
    </cfRule>
  </conditionalFormatting>
  <conditionalFormatting sqref="B50:C50 A48">
    <cfRule type="cellIs" dxfId="292" priority="15" operator="equal">
      <formula>"G"</formula>
    </cfRule>
  </conditionalFormatting>
  <conditionalFormatting sqref="A48 B50:C50">
    <cfRule type="cellIs" dxfId="291" priority="13" operator="equal">
      <formula>"R"</formula>
    </cfRule>
    <cfRule type="cellIs" dxfId="290" priority="14" operator="equal">
      <formula>"Y"</formula>
    </cfRule>
  </conditionalFormatting>
  <conditionalFormatting sqref="B46:C46 A44">
    <cfRule type="cellIs" dxfId="289" priority="12" operator="equal">
      <formula>"G"</formula>
    </cfRule>
  </conditionalFormatting>
  <conditionalFormatting sqref="A44 B46:C46">
    <cfRule type="cellIs" dxfId="288" priority="10" operator="equal">
      <formula>"R"</formula>
    </cfRule>
    <cfRule type="cellIs" dxfId="287" priority="11" operator="equal">
      <formula>"Y"</formula>
    </cfRule>
  </conditionalFormatting>
  <conditionalFormatting sqref="B42:C42 A40">
    <cfRule type="cellIs" dxfId="286" priority="9" operator="equal">
      <formula>"G"</formula>
    </cfRule>
  </conditionalFormatting>
  <conditionalFormatting sqref="A40 B42:C42">
    <cfRule type="cellIs" dxfId="285" priority="7" operator="equal">
      <formula>"R"</formula>
    </cfRule>
    <cfRule type="cellIs" dxfId="284" priority="8" operator="equal">
      <formula>"Y"</formula>
    </cfRule>
  </conditionalFormatting>
  <conditionalFormatting sqref="B10:C10 A8">
    <cfRule type="cellIs" dxfId="283" priority="6" operator="equal">
      <formula>"G"</formula>
    </cfRule>
  </conditionalFormatting>
  <conditionalFormatting sqref="A8 B10:C10">
    <cfRule type="cellIs" dxfId="282" priority="4" operator="equal">
      <formula>"R"</formula>
    </cfRule>
    <cfRule type="cellIs" dxfId="281" priority="5" operator="equal">
      <formula>"Y"</formula>
    </cfRule>
  </conditionalFormatting>
  <conditionalFormatting sqref="B6:C6 A4">
    <cfRule type="cellIs" dxfId="280" priority="3" operator="equal">
      <formula>"G"</formula>
    </cfRule>
  </conditionalFormatting>
  <conditionalFormatting sqref="A4 B6:C6">
    <cfRule type="cellIs" dxfId="279" priority="1" operator="equal">
      <formula>"R"</formula>
    </cfRule>
    <cfRule type="cellIs" dxfId="278" priority="2" operator="equal">
      <formula>"Y"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>
    <tabColor rgb="FF963634"/>
  </sheetPr>
  <dimension ref="A1:T144"/>
  <sheetViews>
    <sheetView topLeftCell="A129" zoomScaleNormal="100" workbookViewId="0">
      <selection activeCell="D140" sqref="D140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9" width="12.140625" style="1" customWidth="1"/>
    <col min="10" max="11" width="11.85546875" style="1" customWidth="1"/>
    <col min="12" max="13" width="11.140625" style="1" customWidth="1"/>
    <col min="14" max="14" width="12.140625" style="1" customWidth="1"/>
    <col min="15" max="15" width="12" style="1" customWidth="1"/>
    <col min="16" max="16384" width="9.140625" style="1"/>
  </cols>
  <sheetData>
    <row r="1" spans="1:20" ht="25.5" customHeight="1">
      <c r="A1" s="140" t="s">
        <v>83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2"/>
      <c r="P1" s="51"/>
      <c r="Q1" s="51"/>
      <c r="R1" s="51"/>
      <c r="S1" s="51"/>
      <c r="T1" s="51"/>
    </row>
    <row r="2" spans="1:20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1"/>
      <c r="Q2" s="51"/>
      <c r="R2" s="51"/>
      <c r="S2" s="51"/>
      <c r="T2" s="51"/>
    </row>
    <row r="3" spans="1:20">
      <c r="A3" s="127" t="s">
        <v>84</v>
      </c>
      <c r="B3" s="143"/>
      <c r="C3" s="144"/>
      <c r="D3" s="144"/>
      <c r="E3" s="144"/>
      <c r="F3" s="52"/>
      <c r="G3" s="52"/>
      <c r="H3" s="52"/>
      <c r="I3" s="52"/>
      <c r="J3" s="52"/>
      <c r="K3" s="52"/>
      <c r="L3" s="52"/>
      <c r="M3" s="52"/>
      <c r="N3" s="52"/>
      <c r="O3" s="53"/>
      <c r="P3" s="51"/>
      <c r="Q3" s="51"/>
      <c r="R3" s="51"/>
      <c r="S3" s="51"/>
      <c r="T3" s="51"/>
    </row>
    <row r="4" spans="1:20">
      <c r="A4" s="16"/>
      <c r="B4" s="15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3"/>
      <c r="P4" s="51"/>
      <c r="Q4" s="51"/>
      <c r="R4" s="51"/>
      <c r="S4" s="51"/>
      <c r="T4" s="51"/>
    </row>
    <row r="5" spans="1:20">
      <c r="A5" s="127" t="s">
        <v>85</v>
      </c>
      <c r="B5" s="127"/>
      <c r="C5" s="54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3"/>
      <c r="P5" s="51"/>
      <c r="Q5" s="51"/>
      <c r="R5" s="51"/>
      <c r="S5" s="51"/>
      <c r="T5" s="51"/>
    </row>
    <row r="6" spans="1:20">
      <c r="A6" s="145" t="s">
        <v>86</v>
      </c>
      <c r="B6" s="145"/>
      <c r="C6" s="148" t="s">
        <v>87</v>
      </c>
      <c r="D6" s="149"/>
      <c r="E6" s="52"/>
      <c r="F6" s="52"/>
      <c r="G6" s="52"/>
      <c r="H6" s="52"/>
      <c r="I6" s="52"/>
      <c r="J6" s="52"/>
      <c r="K6" s="52"/>
      <c r="L6" s="52"/>
      <c r="M6" s="52"/>
      <c r="N6" s="52"/>
      <c r="O6" s="53"/>
      <c r="P6" s="51"/>
      <c r="Q6" s="51"/>
      <c r="R6" s="51"/>
      <c r="S6" s="51"/>
      <c r="T6" s="51"/>
    </row>
    <row r="7" spans="1:20">
      <c r="A7" s="146" t="s">
        <v>88</v>
      </c>
      <c r="B7" s="147"/>
      <c r="C7" s="55">
        <f ca="1">TODAY()</f>
        <v>45941</v>
      </c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3"/>
      <c r="P7" s="51"/>
      <c r="Q7" s="51"/>
      <c r="R7" s="51"/>
      <c r="S7" s="51"/>
      <c r="T7" s="51"/>
    </row>
    <row r="8" spans="1:20">
      <c r="A8" s="127" t="s">
        <v>89</v>
      </c>
      <c r="B8" s="127"/>
      <c r="C8" s="128"/>
      <c r="D8" s="128"/>
      <c r="E8" s="128"/>
      <c r="F8" s="52"/>
      <c r="G8" s="52"/>
      <c r="H8" s="52"/>
      <c r="I8" s="52"/>
      <c r="J8" s="52"/>
      <c r="K8" s="52"/>
      <c r="L8" s="52"/>
      <c r="M8" s="52"/>
      <c r="N8" s="52"/>
      <c r="O8" s="53"/>
      <c r="P8" s="51"/>
      <c r="Q8" s="51"/>
      <c r="R8" s="51"/>
      <c r="S8" s="51"/>
      <c r="T8" s="51"/>
    </row>
    <row r="9" spans="1:20">
      <c r="A9" s="16"/>
      <c r="B9" s="15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3"/>
      <c r="P9" s="51"/>
      <c r="Q9" s="51"/>
      <c r="R9" s="51"/>
      <c r="S9" s="51"/>
      <c r="T9" s="51"/>
    </row>
    <row r="10" spans="1:20">
      <c r="A10" s="129" t="s">
        <v>90</v>
      </c>
      <c r="B10" s="129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3"/>
      <c r="P10" s="51"/>
      <c r="Q10" s="51"/>
      <c r="R10" s="51"/>
      <c r="S10" s="51"/>
      <c r="T10" s="51"/>
    </row>
    <row r="11" spans="1:20" ht="43.5" customHeight="1">
      <c r="A11" s="130"/>
      <c r="B11" s="131"/>
      <c r="C11" s="131"/>
      <c r="D11" s="131"/>
      <c r="E11" s="132"/>
      <c r="F11" s="52"/>
      <c r="G11" s="52"/>
      <c r="H11" s="52"/>
      <c r="I11" s="52"/>
      <c r="J11" s="52"/>
      <c r="K11" s="52"/>
      <c r="L11" s="52"/>
      <c r="M11" s="52"/>
      <c r="N11" s="52"/>
      <c r="O11" s="53"/>
      <c r="P11" s="51"/>
      <c r="Q11" s="51"/>
      <c r="R11" s="51"/>
      <c r="S11" s="51"/>
      <c r="T11" s="56"/>
    </row>
    <row r="12" spans="1:20" ht="43.5" customHeight="1">
      <c r="A12" s="133"/>
      <c r="B12" s="134"/>
      <c r="C12" s="134"/>
      <c r="D12" s="134"/>
      <c r="E12" s="135"/>
      <c r="F12" s="52" t="s">
        <v>91</v>
      </c>
      <c r="G12" s="52"/>
      <c r="H12" s="52"/>
      <c r="I12" s="52"/>
      <c r="J12" s="52"/>
      <c r="K12" s="52"/>
      <c r="L12" s="52"/>
      <c r="M12" s="52"/>
      <c r="N12" s="52"/>
      <c r="O12" s="53"/>
      <c r="P12" s="51"/>
      <c r="Q12" s="51"/>
      <c r="R12" s="51"/>
      <c r="S12" s="51"/>
      <c r="T12" s="51"/>
    </row>
    <row r="13" spans="1:20" ht="43.5" customHeight="1">
      <c r="A13" s="133"/>
      <c r="B13" s="134"/>
      <c r="C13" s="134"/>
      <c r="D13" s="134"/>
      <c r="E13" s="135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1"/>
      <c r="Q13" s="51"/>
      <c r="R13" s="51"/>
      <c r="S13" s="51"/>
      <c r="T13" s="51"/>
    </row>
    <row r="14" spans="1:20" ht="43.5" customHeight="1">
      <c r="A14" s="133"/>
      <c r="B14" s="134"/>
      <c r="C14" s="134"/>
      <c r="D14" s="134"/>
      <c r="E14" s="135"/>
      <c r="F14" s="52"/>
      <c r="G14" s="52"/>
      <c r="H14" s="52"/>
      <c r="I14" s="52"/>
      <c r="J14" s="52"/>
      <c r="K14" s="52"/>
      <c r="L14" s="52"/>
      <c r="M14" s="52"/>
      <c r="N14" s="52"/>
      <c r="O14" s="53"/>
      <c r="P14" s="51"/>
      <c r="Q14" s="51"/>
      <c r="R14" s="51"/>
      <c r="S14" s="51"/>
      <c r="T14" s="51"/>
    </row>
    <row r="15" spans="1:20" ht="75.599999999999994" customHeight="1">
      <c r="A15" s="136"/>
      <c r="B15" s="137"/>
      <c r="C15" s="137"/>
      <c r="D15" s="137"/>
      <c r="E15" s="138"/>
      <c r="F15" s="52"/>
      <c r="G15" s="52"/>
      <c r="H15" s="52"/>
      <c r="I15" s="52"/>
      <c r="J15" s="52"/>
      <c r="K15" s="52"/>
      <c r="L15" s="52"/>
      <c r="M15" s="52"/>
      <c r="N15" s="52"/>
      <c r="O15" s="53"/>
      <c r="P15" s="51"/>
      <c r="Q15" s="51"/>
      <c r="R15" s="51"/>
      <c r="S15" s="51"/>
      <c r="T15" s="51"/>
    </row>
    <row r="16" spans="1:20">
      <c r="A16" s="57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3"/>
      <c r="P16" s="51"/>
      <c r="Q16" s="51"/>
      <c r="R16" s="51"/>
      <c r="S16" s="51"/>
      <c r="T16" s="51"/>
    </row>
    <row r="17" spans="1:15">
      <c r="A17" s="139" t="s">
        <v>92</v>
      </c>
      <c r="B17" s="139"/>
      <c r="C17" s="139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3"/>
    </row>
    <row r="18" spans="1:15" ht="16.5" customHeight="1">
      <c r="A18" s="123" t="s">
        <v>93</v>
      </c>
      <c r="B18" s="124"/>
      <c r="C18" s="5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43'!C33+'ATM PH Release 37.5'!C33+'CBPTINT - 3291 CLP MVP 1 Renewa'!C33+#REF!+#REF!+'CBPTINTK-3069 Project Guardian'!C33+'CBPTINTK-3517 Property Insuranc'!C33+'CBPTINTK-4356 CB Enhancements A'!C33+'CBPTINTK-3796 CLD &amp; Repricing L'!C33+'CBPTINTK-23365 LCMS Funding Con'!C33+'PBBT-13832 DM Relationship 4,5,'!C33+'PBBT-23572 RESL POD Shift Left'!C33+'CBPTINTK-17774 Annual Mortgage '!C33+'Securitization November 2025 Re'!C33+'CBPTINTK-2616 Renewal Due Dilig'!C33+'CBPTINTK-23406 Upgrade DDGS Sma'!C33+'CBPTINTK-4105 Client at Risk CR'!C33+'CBPTINTK-4313 Reverse Franchisi'!C33+'PBBT-22623 Eliminate IMDS Depen'!C33+'PBBT-22425 Excalibur LFA_PBBT-2'!C33+'PBBT-23552 Excalibur to RCDW Mo'!C33+'PBPT16393 Credit Maintenance Pl'!C33+'CBPTINTK-3965 - KC Optimization'!C33+'CBPTINTK-2800 IDP CA Foundation'!C33)</f>
        <v>#REF!</v>
      </c>
      <c r="D18" s="58" t="e">
        <f>SUM(#REF!+#REF!+#REF!+#REF!)</f>
        <v>#REF!</v>
      </c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3"/>
    </row>
    <row r="19" spans="1:15" ht="33.75" customHeight="1">
      <c r="A19" s="125" t="s">
        <v>94</v>
      </c>
      <c r="B19" s="126"/>
      <c r="C19" s="14" t="s">
        <v>95</v>
      </c>
      <c r="D19" s="20" t="s">
        <v>96</v>
      </c>
      <c r="E19" s="12" t="s">
        <v>97</v>
      </c>
      <c r="F19" s="52"/>
      <c r="G19" s="52"/>
      <c r="H19" s="52"/>
      <c r="I19" s="52"/>
      <c r="J19" s="52"/>
      <c r="K19" s="52"/>
      <c r="L19" s="52"/>
      <c r="M19" s="52"/>
      <c r="N19" s="52"/>
      <c r="O19" s="53"/>
    </row>
    <row r="20" spans="1:15" ht="16.5" customHeight="1">
      <c r="A20" s="113" t="s">
        <v>98</v>
      </c>
      <c r="B20" s="114"/>
      <c r="C20" s="9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43'!C35+'ATM PH Release 37.5'!C35+'CBPTINT - 3291 CLP MVP 1 Renewa'!C35+#REF!+#REF!+'CBPTINTK-3069 Project Guardian'!C35+'CBPTINTK-3517 Property Insuranc'!C35+'CBPTINTK-4356 CB Enhancements A'!C35+'CBPTINTK-3796 CLD &amp; Repricing L'!C35+'CBPTINTK-23365 LCMS Funding Con'!C35+'PBBT-13832 DM Relationship 4,5,'!C35+'PBBT-23572 RESL POD Shift Left'!C35+'CBPTINTK-17774 Annual Mortgage '!C35+'Securitization November 2025 Re'!C35+'CBPTINTK-2616 Renewal Due Dilig'!C35+'CBPTINTK-23406 Upgrade DDGS Sma'!C35+'CBPTINTK-4105 Client at Risk CR'!C35+'CBPTINTK-4313 Reverse Franchisi'!C35+'PBBT-22623 Eliminate IMDS Depen'!C35+'PBBT-22425 Excalibur LFA_PBBT-2'!C35+'PBBT-23552 Excalibur to RCDW Mo'!C35+'PBPT16393 Credit Maintenance Pl'!C35+'CBPTINTK-3965 - KC Optimization'!C35+'CBPTINTK-2800 IDP CA Foundation'!C35)</f>
        <v>#REF!</v>
      </c>
      <c r="D20" s="9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43'!D35+'ATM PH Release 37.5'!D35+'CBPTINT - 3291 CLP MVP 1 Renewa'!D35+#REF!+#REF!+'CBPTINTK-3069 Project Guardian'!D35+'CBPTINTK-3517 Property Insuranc'!D35+'CBPTINTK-4356 CB Enhancements A'!D35+'CBPTINTK-3796 CLD &amp; Repricing L'!D35+'CBPTINTK-23365 LCMS Funding Con'!D35+'PBBT-13832 DM Relationship 4,5,'!D35+'PBBT-23572 RESL POD Shift Left'!D35+'CBPTINTK-17774 Annual Mortgage '!D35+'Securitization November 2025 Re'!D35+'CBPTINTK-2616 Renewal Due Dilig'!D35+'CBPTINTK-23406 Upgrade DDGS Sma'!D35+'CBPTINTK-4105 Client at Risk CR'!D35+'CBPTINTK-4313 Reverse Franchisi'!D35+'PBBT-22623 Eliminate IMDS Depen'!D35+'PBBT-22425 Excalibur LFA_PBBT-2'!D35+'PBBT-23552 Excalibur to RCDW Mo'!D35+'PBPT16393 Credit Maintenance Pl'!D35+'CBPTINTK-3965 - KC Optimization'!D35+'CBPTINTK-2800 IDP CA Foundation'!D35)</f>
        <v>#REF!</v>
      </c>
      <c r="E20" s="60">
        <f>IFERROR((C20+D20)/C18,0)</f>
        <v>0</v>
      </c>
      <c r="F20" s="52"/>
      <c r="G20" s="52"/>
      <c r="H20" s="52"/>
      <c r="I20" s="52"/>
      <c r="J20" s="52"/>
      <c r="K20" s="52"/>
      <c r="L20" s="52"/>
      <c r="M20" s="52"/>
      <c r="N20" s="52"/>
      <c r="O20" s="53"/>
    </row>
    <row r="21" spans="1:15">
      <c r="A21" s="113" t="s">
        <v>99</v>
      </c>
      <c r="B21" s="114"/>
      <c r="C21" s="9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43'!C36+'ATM PH Release 37.5'!C36+'CBPTINT - 3291 CLP MVP 1 Renewa'!C36+#REF!+#REF!+'CBPTINTK-3069 Project Guardian'!C36+'CBPTINTK-3517 Property Insuranc'!C36+'CBPTINTK-4356 CB Enhancements A'!C36+'CBPTINTK-3796 CLD &amp; Repricing L'!C36+'CBPTINTK-23365 LCMS Funding Con'!C36+'PBBT-13832 DM Relationship 4,5,'!C36+'PBBT-23572 RESL POD Shift Left'!C36+'CBPTINTK-17774 Annual Mortgage '!C36+'Securitization November 2025 Re'!C36+'CBPTINTK-2616 Renewal Due Dilig'!C36+'CBPTINTK-23406 Upgrade DDGS Sma'!C36+'CBPTINTK-4105 Client at Risk CR'!C36+'CBPTINTK-4313 Reverse Franchisi'!C36+'PBBT-22623 Eliminate IMDS Depen'!C36+'PBBT-22425 Excalibur LFA_PBBT-2'!C36+'PBBT-23552 Excalibur to RCDW Mo'!C36+'PBPT16393 Credit Maintenance Pl'!C36+'CBPTINTK-3965 - KC Optimization'!C36+'CBPTINTK-2800 IDP CA Foundation'!C36)</f>
        <v>#REF!</v>
      </c>
      <c r="D21" s="9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43'!D36+'ATM PH Release 37.5'!D36+'CBPTINT - 3291 CLP MVP 1 Renewa'!D36+#REF!+#REF!+'CBPTINTK-3069 Project Guardian'!D36+'CBPTINTK-3517 Property Insuranc'!D36+'CBPTINTK-4356 CB Enhancements A'!D36+'CBPTINTK-3796 CLD &amp; Repricing L'!D36+'CBPTINTK-23365 LCMS Funding Con'!D36+'PBBT-13832 DM Relationship 4,5,'!D36+'PBBT-23572 RESL POD Shift Left'!D36+'CBPTINTK-17774 Annual Mortgage '!D36+'Securitization November 2025 Re'!D36+'CBPTINTK-2616 Renewal Due Dilig'!D36+'CBPTINTK-23406 Upgrade DDGS Sma'!D36+'CBPTINTK-4105 Client at Risk CR'!D36+'CBPTINTK-4313 Reverse Franchisi'!D36+'PBBT-22623 Eliminate IMDS Depen'!D36+'PBBT-22425 Excalibur LFA_PBBT-2'!D36+'PBBT-23552 Excalibur to RCDW Mo'!D36+'PBPT16393 Credit Maintenance Pl'!D36+'CBPTINTK-3965 - KC Optimization'!D36+'CBPTINTK-2800 IDP CA Foundation'!D36)</f>
        <v>#REF!</v>
      </c>
      <c r="E21" s="60">
        <f>IFERROR((C21+D21)/(C20+D20),0)</f>
        <v>0</v>
      </c>
      <c r="F21" s="52"/>
      <c r="G21" s="52"/>
      <c r="H21" s="52"/>
      <c r="I21" s="52"/>
      <c r="J21" s="52"/>
      <c r="K21" s="52"/>
      <c r="L21" s="52"/>
      <c r="M21" s="52"/>
      <c r="N21" s="52"/>
      <c r="O21" s="53"/>
    </row>
    <row r="22" spans="1:15">
      <c r="A22" s="113" t="s">
        <v>100</v>
      </c>
      <c r="B22" s="114"/>
      <c r="C22" s="9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43'!C37+'ATM PH Release 37.5'!C37+'CBPTINT - 3291 CLP MVP 1 Renewa'!C37+#REF!+#REF!+'CBPTINTK-3069 Project Guardian'!C37+'CBPTINTK-3517 Property Insuranc'!C37+'CBPTINTK-4356 CB Enhancements A'!C37+'CBPTINTK-3796 CLD &amp; Repricing L'!C37+'CBPTINTK-23365 LCMS Funding Con'!C37+'PBBT-13832 DM Relationship 4,5,'!C37+'PBBT-23572 RESL POD Shift Left'!C37+'CBPTINTK-17774 Annual Mortgage '!C37+'Securitization November 2025 Re'!C37+'CBPTINTK-2616 Renewal Due Dilig'!C37+'CBPTINTK-23406 Upgrade DDGS Sma'!C37+'CBPTINTK-4105 Client at Risk CR'!C37+'CBPTINTK-4313 Reverse Franchisi'!C37+'PBBT-22623 Eliminate IMDS Depen'!C37+'PBBT-22425 Excalibur LFA_PBBT-2'!C37+'PBBT-23552 Excalibur to RCDW Mo'!C37+'PBPT16393 Credit Maintenance Pl'!C37+'CBPTINTK-3965 - KC Optimization'!C37+'CBPTINTK-2800 IDP CA Foundation'!C37)</f>
        <v>#REF!</v>
      </c>
      <c r="D22" s="9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43'!D37+'ATM PH Release 37.5'!D37+'CBPTINT - 3291 CLP MVP 1 Renewa'!D37+#REF!+#REF!+'CBPTINTK-3069 Project Guardian'!D37+'CBPTINTK-3517 Property Insuranc'!D37+'CBPTINTK-4356 CB Enhancements A'!D37+'CBPTINTK-3796 CLD &amp; Repricing L'!D37+'CBPTINTK-23365 LCMS Funding Con'!D37+'PBBT-13832 DM Relationship 4,5,'!D37+'PBBT-23572 RESL POD Shift Left'!D37+'CBPTINTK-17774 Annual Mortgage '!D37+'Securitization November 2025 Re'!D37+'CBPTINTK-2616 Renewal Due Dilig'!D37+'CBPTINTK-23406 Upgrade DDGS Sma'!D37+'CBPTINTK-4105 Client at Risk CR'!D37+'CBPTINTK-4313 Reverse Franchisi'!D37+'PBBT-22623 Eliminate IMDS Depen'!D37+'PBBT-22425 Excalibur LFA_PBBT-2'!D37+'PBBT-23552 Excalibur to RCDW Mo'!D37+'PBPT16393 Credit Maintenance Pl'!D37+'CBPTINTK-3965 - KC Optimization'!D37+'CBPTINTK-2800 IDP CA Foundation'!D37)</f>
        <v>#REF!</v>
      </c>
      <c r="E22" s="60">
        <f>IFERROR((C22+D22)/(C20+D20),0)</f>
        <v>0</v>
      </c>
      <c r="F22" s="52"/>
      <c r="G22" s="52"/>
      <c r="H22" s="52"/>
      <c r="I22" s="52"/>
      <c r="J22" s="52"/>
      <c r="K22" s="52"/>
      <c r="L22" s="52"/>
      <c r="M22" s="52"/>
      <c r="N22" s="52"/>
      <c r="O22" s="53"/>
    </row>
    <row r="23" spans="1:15">
      <c r="A23" s="113" t="s">
        <v>101</v>
      </c>
      <c r="B23" s="114"/>
      <c r="C23" s="9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43'!C38+'ATM PH Release 37.5'!C38+'CBPTINT - 3291 CLP MVP 1 Renewa'!C38+#REF!+#REF!+'CBPTINTK-3069 Project Guardian'!C38+'CBPTINTK-3517 Property Insuranc'!C38+'CBPTINTK-4356 CB Enhancements A'!C38+'CBPTINTK-3796 CLD &amp; Repricing L'!C38+'CBPTINTK-23365 LCMS Funding Con'!C38+'PBBT-13832 DM Relationship 4,5,'!C38+'PBBT-23572 RESL POD Shift Left'!C38+'CBPTINTK-17774 Annual Mortgage '!C38+'Securitization November 2025 Re'!C38+'CBPTINTK-2616 Renewal Due Dilig'!C38+'CBPTINTK-23406 Upgrade DDGS Sma'!C38+'CBPTINTK-4105 Client at Risk CR'!C38+'CBPTINTK-4313 Reverse Franchisi'!C38+'PBBT-22623 Eliminate IMDS Depen'!C38+'PBBT-22425 Excalibur LFA_PBBT-2'!C38+'PBBT-23552 Excalibur to RCDW Mo'!C38+'PBPT16393 Credit Maintenance Pl'!C38+'CBPTINTK-3965 - KC Optimization'!C38+'CBPTINTK-2800 IDP CA Foundation'!C38)</f>
        <v>#REF!</v>
      </c>
      <c r="D23" s="9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43'!D38+'ATM PH Release 37.5'!D38+'CBPTINT - 3291 CLP MVP 1 Renewa'!D38+#REF!+#REF!+'CBPTINTK-3069 Project Guardian'!D38+'CBPTINTK-3517 Property Insuranc'!D38+'CBPTINTK-4356 CB Enhancements A'!D38+'CBPTINTK-3796 CLD &amp; Repricing L'!D38+'CBPTINTK-23365 LCMS Funding Con'!D38+'PBBT-13832 DM Relationship 4,5,'!D38+'PBBT-23572 RESL POD Shift Left'!D38+'CBPTINTK-17774 Annual Mortgage '!D38+'Securitization November 2025 Re'!D38+'CBPTINTK-2616 Renewal Due Dilig'!D38+'CBPTINTK-23406 Upgrade DDGS Sma'!D38+'CBPTINTK-4105 Client at Risk CR'!D38+'CBPTINTK-4313 Reverse Franchisi'!D38+'PBBT-22623 Eliminate IMDS Depen'!D38+'PBBT-22425 Excalibur LFA_PBBT-2'!D38+'PBBT-23552 Excalibur to RCDW Mo'!D38+'PBPT16393 Credit Maintenance Pl'!D38+'CBPTINTK-3965 - KC Optimization'!D38+'CBPTINTK-2800 IDP CA Foundation'!D38)</f>
        <v>#REF!</v>
      </c>
      <c r="E23" s="60">
        <f>IFERROR((D23+C23)/C18,0)</f>
        <v>0</v>
      </c>
      <c r="F23" s="52"/>
      <c r="G23" s="52"/>
      <c r="H23" s="52"/>
      <c r="I23" s="52"/>
      <c r="J23" s="52"/>
      <c r="K23" s="52"/>
      <c r="L23" s="52"/>
      <c r="M23" s="52"/>
      <c r="N23" s="52"/>
      <c r="O23" s="53"/>
    </row>
    <row r="24" spans="1:15">
      <c r="A24" s="113" t="s">
        <v>102</v>
      </c>
      <c r="B24" s="114"/>
      <c r="C24" s="9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43'!C39+'ATM PH Release 37.5'!C39+'CBPTINT - 3291 CLP MVP 1 Renewa'!C39+#REF!+#REF!+'CBPTINTK-3069 Project Guardian'!C39+'CBPTINTK-3517 Property Insuranc'!C39+'CBPTINTK-4356 CB Enhancements A'!C39+'CBPTINTK-3796 CLD &amp; Repricing L'!C39+'CBPTINTK-23365 LCMS Funding Con'!C39+'PBBT-13832 DM Relationship 4,5,'!C39+'PBBT-23572 RESL POD Shift Left'!C39+'CBPTINTK-17774 Annual Mortgage '!C39+'Securitization November 2025 Re'!C39+'CBPTINTK-2616 Renewal Due Dilig'!C39+'CBPTINTK-23406 Upgrade DDGS Sma'!C39+'CBPTINTK-4105 Client at Risk CR'!C39+'CBPTINTK-4313 Reverse Franchisi'!C39+'PBBT-22623 Eliminate IMDS Depen'!C39+'PBBT-22425 Excalibur LFA_PBBT-2'!C39+'PBBT-23552 Excalibur to RCDW Mo'!C39+'PBPT16393 Credit Maintenance Pl'!C39+'CBPTINTK-3965 - KC Optimization'!C39+'CBPTINTK-2800 IDP CA Foundation'!C39)</f>
        <v>#REF!</v>
      </c>
      <c r="D24" s="9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43'!D39+'ATM PH Release 37.5'!D39+'CBPTINT - 3291 CLP MVP 1 Renewa'!D39+#REF!+#REF!+'CBPTINTK-3069 Project Guardian'!D39+'CBPTINTK-3517 Property Insuranc'!D39+'CBPTINTK-4356 CB Enhancements A'!D39+'CBPTINTK-3796 CLD &amp; Repricing L'!D39+'CBPTINTK-23365 LCMS Funding Con'!D39+'PBBT-13832 DM Relationship 4,5,'!D39+'PBBT-23572 RESL POD Shift Left'!D39+'CBPTINTK-17774 Annual Mortgage '!D39+'Securitization November 2025 Re'!D39+'CBPTINTK-2616 Renewal Due Dilig'!D39+'CBPTINTK-23406 Upgrade DDGS Sma'!D39+'CBPTINTK-4105 Client at Risk CR'!D39+'CBPTINTK-4313 Reverse Franchisi'!D39+'PBBT-22623 Eliminate IMDS Depen'!D39+'PBBT-22425 Excalibur LFA_PBBT-2'!D39+'PBBT-23552 Excalibur to RCDW Mo'!D39+'PBPT16393 Credit Maintenance Pl'!D39+'CBPTINTK-3965 - KC Optimization'!D39+'CBPTINTK-2800 IDP CA Foundation'!D39)</f>
        <v>#REF!</v>
      </c>
      <c r="E24" s="60">
        <f>IFERROR((D24+C24)/C18,0)</f>
        <v>0</v>
      </c>
      <c r="F24" s="52"/>
      <c r="G24" s="52"/>
      <c r="H24" s="52"/>
      <c r="I24" s="52"/>
      <c r="J24" s="52"/>
      <c r="K24" s="52"/>
      <c r="L24" s="52"/>
      <c r="M24" s="52"/>
      <c r="N24" s="52"/>
      <c r="O24" s="53"/>
    </row>
    <row r="25" spans="1:15">
      <c r="A25" s="113" t="s">
        <v>103</v>
      </c>
      <c r="B25" s="114"/>
      <c r="C25" s="5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43'!C40+'ATM PH Release 37.5'!C40+'CBPTINT - 3291 CLP MVP 1 Renewa'!C40+#REF!+#REF!+'CBPTINTK-3069 Project Guardian'!C40+'CBPTINTK-3517 Property Insuranc'!C40+'CBPTINTK-4356 CB Enhancements A'!C40+'CBPTINTK-3796 CLD &amp; Repricing L'!C40+'CBPTINTK-23365 LCMS Funding Con'!C40+'PBBT-13832 DM Relationship 4,5,'!C40+'PBBT-23572 RESL POD Shift Left'!C40+'CBPTINTK-17774 Annual Mortgage '!C40+'Securitization November 2025 Re'!C40+'CBPTINTK-2616 Renewal Due Dilig'!C40+'CBPTINTK-23406 Upgrade DDGS Sma'!C40+'CBPTINTK-4105 Client at Risk CR'!C40+'CBPTINTK-4313 Reverse Franchisi'!C40+'PBBT-22623 Eliminate IMDS Depen'!C40+'PBBT-22425 Excalibur LFA_PBBT-2'!C40+'PBBT-23552 Excalibur to RCDW Mo'!C40+'PBPT16393 Credit Maintenance Pl'!C40+'CBPTINTK-3965 - KC Optimization'!C40+'CBPTINTK-2800 IDP CA Foundation'!C40)</f>
        <v>#REF!</v>
      </c>
      <c r="D25" s="5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43'!D40+'ATM PH Release 37.5'!D40+'CBPTINT - 3291 CLP MVP 1 Renewa'!D40+#REF!+#REF!+'CBPTINTK-3069 Project Guardian'!D40+'CBPTINTK-3517 Property Insuranc'!D40+'CBPTINTK-4356 CB Enhancements A'!D40+'CBPTINTK-3796 CLD &amp; Repricing L'!D40+'CBPTINTK-23365 LCMS Funding Con'!D40+'PBBT-13832 DM Relationship 4,5,'!D40+'PBBT-23572 RESL POD Shift Left'!D40+'CBPTINTK-17774 Annual Mortgage '!D40+'Securitization November 2025 Re'!D40+'CBPTINTK-2616 Renewal Due Dilig'!D40+'CBPTINTK-23406 Upgrade DDGS Sma'!D40+'CBPTINTK-4105 Client at Risk CR'!D40+'CBPTINTK-4313 Reverse Franchisi'!D40+'PBBT-22623 Eliminate IMDS Depen'!D40+'PBBT-22425 Excalibur LFA_PBBT-2'!D40+'PBBT-23552 Excalibur to RCDW Mo'!D40+'PBPT16393 Credit Maintenance Pl'!D40+'CBPTINTK-3965 - KC Optimization'!D40+'CBPTINTK-2800 IDP CA Foundation'!D40)</f>
        <v>#REF!</v>
      </c>
      <c r="E25" s="60">
        <f>IFERROR((D25+C25)/C18,0)</f>
        <v>0</v>
      </c>
      <c r="F25" s="52"/>
      <c r="G25" s="52"/>
      <c r="H25" s="52"/>
      <c r="I25" s="52"/>
      <c r="J25" s="52"/>
      <c r="K25" s="52"/>
      <c r="L25" s="52"/>
      <c r="M25" s="52"/>
      <c r="N25" s="52"/>
      <c r="O25" s="53"/>
    </row>
    <row r="26" spans="1:15">
      <c r="A26" s="121" t="s">
        <v>104</v>
      </c>
      <c r="B26" s="122"/>
      <c r="C26" s="5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43'!C41+'ATM PH Release 37.5'!C41+'CBPTINT - 3291 CLP MVP 1 Renewa'!C41+#REF!+#REF!+'CBPTINTK-3069 Project Guardian'!C41+'CBPTINTK-3517 Property Insuranc'!C41+'CBPTINTK-4356 CB Enhancements A'!C41+'CBPTINTK-3796 CLD &amp; Repricing L'!C41+'CBPTINTK-23365 LCMS Funding Con'!C41+'PBBT-13832 DM Relationship 4,5,'!C41+'PBBT-23572 RESL POD Shift Left'!C41+'CBPTINTK-17774 Annual Mortgage '!C41+'Securitization November 2025 Re'!C41+'CBPTINTK-2616 Renewal Due Dilig'!C41+'CBPTINTK-23406 Upgrade DDGS Sma'!C41+'CBPTINTK-4105 Client at Risk CR'!C41+'CBPTINTK-4313 Reverse Franchisi'!C41+'PBBT-22623 Eliminate IMDS Depen'!C41+'PBBT-22425 Excalibur LFA_PBBT-2'!C41+'PBBT-23552 Excalibur to RCDW Mo'!C41+'PBPT16393 Credit Maintenance Pl'!C41+'CBPTINTK-3965 - KC Optimization'!C41+'CBPTINTK-2800 IDP CA Foundation'!C41)</f>
        <v>#REF!</v>
      </c>
      <c r="D26" s="5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43'!D41+'ATM PH Release 37.5'!D41+'CBPTINT - 3291 CLP MVP 1 Renewa'!D41+#REF!+#REF!+'CBPTINTK-3069 Project Guardian'!D41+'CBPTINTK-3517 Property Insuranc'!D41+'CBPTINTK-4356 CB Enhancements A'!D41+'CBPTINTK-3796 CLD &amp; Repricing L'!D41+'CBPTINTK-23365 LCMS Funding Con'!D41+'PBBT-13832 DM Relationship 4,5,'!D41+'PBBT-23572 RESL POD Shift Left'!D41+'CBPTINTK-17774 Annual Mortgage '!D41+'Securitization November 2025 Re'!D41+'CBPTINTK-2616 Renewal Due Dilig'!D41+'CBPTINTK-23406 Upgrade DDGS Sma'!D41+'CBPTINTK-4105 Client at Risk CR'!D41+'CBPTINTK-4313 Reverse Franchisi'!D41+'PBBT-22623 Eliminate IMDS Depen'!D41+'PBBT-22425 Excalibur LFA_PBBT-2'!D41+'PBBT-23552 Excalibur to RCDW Mo'!D41+'PBPT16393 Credit Maintenance Pl'!D41+'CBPTINTK-3965 - KC Optimization'!D41+'CBPTINTK-2800 IDP CA Foundation'!D41)</f>
        <v>#REF!</v>
      </c>
      <c r="E26" s="60">
        <f>IFERROR((C26+D26)/C18,0)</f>
        <v>0</v>
      </c>
      <c r="F26" s="52"/>
      <c r="G26" s="52"/>
      <c r="H26" s="52"/>
      <c r="I26" s="52"/>
      <c r="J26" s="52"/>
      <c r="K26" s="52"/>
      <c r="L26" s="52"/>
      <c r="M26" s="52"/>
      <c r="N26" s="52"/>
      <c r="O26" s="53"/>
    </row>
    <row r="27" spans="1:15">
      <c r="A27" s="3" t="s">
        <v>105</v>
      </c>
      <c r="B27" s="61"/>
      <c r="C27" s="62"/>
      <c r="D27" s="62"/>
      <c r="E27" s="63"/>
      <c r="F27" s="52"/>
      <c r="G27" s="52"/>
      <c r="H27" s="52"/>
      <c r="I27" s="52"/>
      <c r="J27" s="52"/>
      <c r="K27" s="52"/>
      <c r="L27" s="52"/>
      <c r="M27" s="52"/>
      <c r="N27" s="52"/>
      <c r="O27" s="53"/>
    </row>
    <row r="28" spans="1:15">
      <c r="A28" s="52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3"/>
    </row>
    <row r="29" spans="1:15">
      <c r="A29" s="52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3"/>
    </row>
    <row r="30" spans="1:15" ht="36" customHeight="1">
      <c r="A30" s="119" t="s">
        <v>106</v>
      </c>
      <c r="B30" s="120"/>
      <c r="C30" s="13" t="s">
        <v>107</v>
      </c>
      <c r="D30" s="13" t="s">
        <v>96</v>
      </c>
      <c r="E30" s="13" t="s">
        <v>108</v>
      </c>
      <c r="F30" s="12" t="s">
        <v>97</v>
      </c>
      <c r="G30" s="52"/>
      <c r="H30" s="52"/>
      <c r="I30" s="52"/>
      <c r="J30" s="52"/>
      <c r="K30" s="52"/>
      <c r="L30" s="52"/>
      <c r="M30" s="52"/>
      <c r="N30" s="52"/>
      <c r="O30" s="53"/>
    </row>
    <row r="31" spans="1:15">
      <c r="A31" s="115" t="s">
        <v>109</v>
      </c>
      <c r="B31" s="116"/>
      <c r="C31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43'!C46+'ATM PH Release 37.5'!C46+'CBPTINT - 3291 CLP MVP 1 Renewa'!C46+#REF!+#REF!+'CBPTINTK-3069 Project Guardian'!C46+'CBPTINTK-3517 Property Insuranc'!C46+'CBPTINTK-4356 CB Enhancements A'!C46+'CBPTINTK-3796 CLD &amp; Repricing L'!C46+'CBPTINTK-23365 LCMS Funding Con'!C46+'PBBT-13832 DM Relationship 4,5,'!C46+'PBBT-23572 RESL POD Shift Left'!C46+'CBPTINTK-17774 Annual Mortgage '!C46+'Securitization November 2025 Re'!C46+'CBPTINTK-2616 Renewal Due Dilig'!C46+'CBPTINTK-23406 Upgrade DDGS Sma'!C46+'CBPTINTK-4105 Client at Risk CR'!C46+'CBPTINTK-4313 Reverse Franchisi'!C46+'PBBT-22623 Eliminate IMDS Depen'!C46+'PBBT-22425 Excalibur LFA_PBBT-2'!C46+'PBBT-23552 Excalibur to RCDW Mo'!C46+'PBPT16393 Credit Maintenance Pl'!C46+'CBPTINTK-3965 - KC Optimization'!C46+'CBPTINTK-2800 IDP CA Foundation'!C46)</f>
        <v>#REF!</v>
      </c>
      <c r="D31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43'!D46+'ATM PH Release 37.5'!D46+'CBPTINT - 3291 CLP MVP 1 Renewa'!D46+#REF!+#REF!+'CBPTINTK-3069 Project Guardian'!D46+'CBPTINTK-3517 Property Insuranc'!D46+'CBPTINTK-4356 CB Enhancements A'!D46+'CBPTINTK-3796 CLD &amp; Repricing L'!D46+'CBPTINTK-23365 LCMS Funding Con'!D46+'PBBT-13832 DM Relationship 4,5,'!D46+'PBBT-23572 RESL POD Shift Left'!D46+'CBPTINTK-17774 Annual Mortgage '!D46+'Securitization November 2025 Re'!D46+'CBPTINTK-2616 Renewal Due Dilig'!D46+'CBPTINTK-23406 Upgrade DDGS Sma'!D46+'CBPTINTK-4105 Client at Risk CR'!D46+'CBPTINTK-4313 Reverse Franchisi'!D46+'PBBT-22623 Eliminate IMDS Depen'!D46+'PBBT-22425 Excalibur LFA_PBBT-2'!D46+'PBBT-23552 Excalibur to RCDW Mo'!D46+'PBPT16393 Credit Maintenance Pl'!D46+'CBPTINTK-3965 - KC Optimization'!D46+'CBPTINTK-2800 IDP CA Foundation'!D46)</f>
        <v>#REF!</v>
      </c>
      <c r="E31" s="60">
        <f>IFERROR(D31/(D31+C31),0)</f>
        <v>0</v>
      </c>
      <c r="F31" s="64"/>
      <c r="G31" s="52"/>
      <c r="H31" s="52"/>
      <c r="I31" s="52"/>
      <c r="J31" s="52"/>
      <c r="K31" s="52"/>
      <c r="L31" s="52"/>
      <c r="M31" s="52"/>
      <c r="N31" s="52"/>
      <c r="O31" s="53"/>
    </row>
    <row r="32" spans="1:15">
      <c r="A32" s="115" t="s">
        <v>98</v>
      </c>
      <c r="B32" s="116"/>
      <c r="C32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43'!C48+'ATM PH Release 37.5'!C48+'CBPTINT - 3291 CLP MVP 1 Renewa'!C48+#REF!+#REF!+'CBPTINTK-3069 Project Guardian'!C48+'CBPTINTK-3517 Property Insuranc'!C48+'CBPTINTK-4356 CB Enhancements A'!C48+'CBPTINTK-3796 CLD &amp; Repricing L'!C48+'CBPTINTK-23365 LCMS Funding Con'!C48+'PBBT-13832 DM Relationship 4,5,'!C48+'PBBT-23572 RESL POD Shift Left'!C48+'CBPTINTK-17774 Annual Mortgage '!C48+'Securitization November 2025 Re'!C48+'CBPTINTK-2616 Renewal Due Dilig'!C48+'CBPTINTK-23406 Upgrade DDGS Sma'!C48+'CBPTINTK-4105 Client at Risk CR'!C48+'CBPTINTK-4313 Reverse Franchisi'!C48+'PBBT-22623 Eliminate IMDS Depen'!C48+'PBBT-22425 Excalibur LFA_PBBT-2'!C48+'PBBT-23552 Excalibur to RCDW Mo'!C48+'PBPT16393 Credit Maintenance Pl'!C48+'CBPTINTK-3965 - KC Optimization'!C48+'CBPTINTK-2800 IDP CA Foundation'!C48)</f>
        <v>#REF!</v>
      </c>
      <c r="D32" s="9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43'!D48+'ATM PH Release 37.5'!D48+'CBPTINT - 3291 CLP MVP 1 Renewa'!D48+#REF!+#REF!+'CBPTINTK-3069 Project Guardian'!D48+'CBPTINTK-3517 Property Insuranc'!D48+'CBPTINTK-4356 CB Enhancements A'!D48+'CBPTINTK-3796 CLD &amp; Repricing L'!D48+'CBPTINTK-23365 LCMS Funding Con'!D48+'PBBT-13832 DM Relationship 4,5,'!D48+'PBBT-23572 RESL POD Shift Left'!D48+'CBPTINTK-17774 Annual Mortgage '!D48+'Securitization November 2025 Re'!D48+'CBPTINTK-2616 Renewal Due Dilig'!D48+'CBPTINTK-23406 Upgrade DDGS Sma'!D48+'CBPTINTK-4105 Client at Risk CR'!D48+'CBPTINTK-4313 Reverse Franchisi'!D48+'PBBT-22623 Eliminate IMDS Depen'!D48+'PBBT-22425 Excalibur LFA_PBBT-2'!D48+'PBBT-23552 Excalibur to RCDW Mo'!D48+'PBPT16393 Credit Maintenance Pl'!D48+'CBPTINTK-3965 - KC Optimization'!D48+'CBPTINTK-2800 IDP CA Foundation'!D48)</f>
        <v>#REF!</v>
      </c>
      <c r="E32" s="60">
        <f>IFERROR(D32/(D32+C32),0)</f>
        <v>0</v>
      </c>
      <c r="F32" s="65">
        <f>IFERROR((C32+D32)/(C31+D31),0)</f>
        <v>0</v>
      </c>
      <c r="G32" s="52"/>
      <c r="H32" s="52"/>
      <c r="I32" s="52"/>
      <c r="J32" s="52"/>
      <c r="K32" s="52"/>
      <c r="L32" s="52"/>
      <c r="M32" s="52"/>
      <c r="N32" s="52"/>
      <c r="O32" s="53"/>
    </row>
    <row r="33" spans="1:15">
      <c r="A33" s="113" t="s">
        <v>99</v>
      </c>
      <c r="B33" s="114"/>
      <c r="C33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43'!C49+'ATM PH Release 37.5'!C49+'CBPTINT - 3291 CLP MVP 1 Renewa'!C49+#REF!+#REF!+'CBPTINTK-3069 Project Guardian'!C49+'CBPTINTK-3517 Property Insuranc'!C49+'CBPTINTK-4356 CB Enhancements A'!C49+'CBPTINTK-3796 CLD &amp; Repricing L'!C49+'CBPTINTK-23365 LCMS Funding Con'!C49+'PBBT-13832 DM Relationship 4,5,'!C49+'PBBT-23572 RESL POD Shift Left'!C49+'CBPTINTK-17774 Annual Mortgage '!C49+'Securitization November 2025 Re'!C49+'CBPTINTK-2616 Renewal Due Dilig'!C49+'CBPTINTK-23406 Upgrade DDGS Sma'!C49+'CBPTINTK-4105 Client at Risk CR'!C49+'CBPTINTK-4313 Reverse Franchisi'!C49+'PBBT-22623 Eliminate IMDS Depen'!C49+'PBBT-22425 Excalibur LFA_PBBT-2'!C49+'PBBT-23552 Excalibur to RCDW Mo'!C49+'PBPT16393 Credit Maintenance Pl'!C49+'CBPTINTK-3965 - KC Optimization'!C49+'CBPTINTK-2800 IDP CA Foundation'!C49)</f>
        <v>#REF!</v>
      </c>
      <c r="D33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43'!D49+'ATM PH Release 37.5'!D49+'CBPTINT - 3291 CLP MVP 1 Renewa'!D49+#REF!+#REF!+'CBPTINTK-3069 Project Guardian'!D49+'CBPTINTK-3517 Property Insuranc'!D49+'CBPTINTK-4356 CB Enhancements A'!D49+'CBPTINTK-3796 CLD &amp; Repricing L'!D49+'CBPTINTK-23365 LCMS Funding Con'!D49+'PBBT-13832 DM Relationship 4,5,'!D49+'PBBT-23572 RESL POD Shift Left'!D49+'CBPTINTK-17774 Annual Mortgage '!D49+'Securitization November 2025 Re'!D49+'CBPTINTK-2616 Renewal Due Dilig'!D49+'CBPTINTK-23406 Upgrade DDGS Sma'!D49+'CBPTINTK-4105 Client at Risk CR'!D49+'CBPTINTK-4313 Reverse Franchisi'!D49+'PBBT-22623 Eliminate IMDS Depen'!D49+'PBBT-22425 Excalibur LFA_PBBT-2'!D49+'PBBT-23552 Excalibur to RCDW Mo'!D49+'PBPT16393 Credit Maintenance Pl'!D49+'CBPTINTK-3965 - KC Optimization'!D49+'CBPTINTK-2800 IDP CA Foundation'!D49)</f>
        <v>#REF!</v>
      </c>
      <c r="E33" s="65">
        <f>IFERROR(D33/D32,0)</f>
        <v>0</v>
      </c>
      <c r="F33" s="65">
        <f>IFERROR((C33+D33)/(C32+D32),0)</f>
        <v>0</v>
      </c>
      <c r="G33" s="52"/>
      <c r="H33" s="52"/>
      <c r="I33" s="52"/>
      <c r="J33" s="52"/>
      <c r="K33" s="52"/>
      <c r="L33" s="52"/>
      <c r="M33" s="52"/>
      <c r="N33" s="52"/>
      <c r="O33" s="53"/>
    </row>
    <row r="34" spans="1:15">
      <c r="A34" s="113" t="s">
        <v>100</v>
      </c>
      <c r="B34" s="114"/>
      <c r="C34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43'!C50+'ATM PH Release 37.5'!C50+'CBPTINT - 3291 CLP MVP 1 Renewa'!C50+#REF!+#REF!+'CBPTINTK-3069 Project Guardian'!C50+'CBPTINTK-3517 Property Insuranc'!C50+'CBPTINTK-4356 CB Enhancements A'!C50+'CBPTINTK-3796 CLD &amp; Repricing L'!C50+'CBPTINTK-23365 LCMS Funding Con'!C50+'PBBT-13832 DM Relationship 4,5,'!C50+'PBBT-23572 RESL POD Shift Left'!C50+'CBPTINTK-17774 Annual Mortgage '!C50+'Securitization November 2025 Re'!C50+'CBPTINTK-2616 Renewal Due Dilig'!C50+'CBPTINTK-23406 Upgrade DDGS Sma'!C50+'CBPTINTK-4105 Client at Risk CR'!C50+'CBPTINTK-4313 Reverse Franchisi'!C50+'PBBT-22623 Eliminate IMDS Depen'!C50+'PBBT-22425 Excalibur LFA_PBBT-2'!C50+'PBBT-23552 Excalibur to RCDW Mo'!C50+'PBPT16393 Credit Maintenance Pl'!C50+'CBPTINTK-3965 - KC Optimization'!C50+'CBPTINTK-2800 IDP CA Foundation'!C50)</f>
        <v>#REF!</v>
      </c>
      <c r="D34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43'!D50+'ATM PH Release 37.5'!D50+'CBPTINT - 3291 CLP MVP 1 Renewa'!D50+#REF!+#REF!+'CBPTINTK-3069 Project Guardian'!D50+'CBPTINTK-3517 Property Insuranc'!D50+'CBPTINTK-4356 CB Enhancements A'!D50+'CBPTINTK-3796 CLD &amp; Repricing L'!D50+'CBPTINTK-23365 LCMS Funding Con'!D50+'PBBT-13832 DM Relationship 4,5,'!D50+'PBBT-23572 RESL POD Shift Left'!D50+'CBPTINTK-17774 Annual Mortgage '!D50+'Securitization November 2025 Re'!D50+'CBPTINTK-2616 Renewal Due Dilig'!D50+'CBPTINTK-23406 Upgrade DDGS Sma'!D50+'CBPTINTK-4105 Client at Risk CR'!D50+'CBPTINTK-4313 Reverse Franchisi'!D50+'PBBT-22623 Eliminate IMDS Depen'!D50+'PBBT-22425 Excalibur LFA_PBBT-2'!D50+'PBBT-23552 Excalibur to RCDW Mo'!D50+'PBPT16393 Credit Maintenance Pl'!D50+'CBPTINTK-3965 - KC Optimization'!D50+'CBPTINTK-2800 IDP CA Foundation'!D50)</f>
        <v>#REF!</v>
      </c>
      <c r="E34" s="65">
        <f>IFERROR(D34/D32,0)</f>
        <v>0</v>
      </c>
      <c r="F34" s="65">
        <f>IFERROR((C34+D34)/(C32+D32),0)</f>
        <v>0</v>
      </c>
      <c r="G34" s="52"/>
      <c r="H34" s="52"/>
      <c r="I34" s="52"/>
      <c r="J34" s="52"/>
      <c r="K34" s="52"/>
      <c r="L34" s="52"/>
      <c r="M34" s="52"/>
      <c r="N34" s="52"/>
      <c r="O34" s="53"/>
    </row>
    <row r="35" spans="1:15">
      <c r="A35" s="113" t="s">
        <v>102</v>
      </c>
      <c r="B35" s="114"/>
      <c r="C35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43'!C51+'ATM PH Release 37.5'!C51+'CBPTINT - 3291 CLP MVP 1 Renewa'!C51+#REF!+#REF!+'CBPTINTK-3069 Project Guardian'!C51+'CBPTINTK-3517 Property Insuranc'!C51+'CBPTINTK-4356 CB Enhancements A'!C51+'CBPTINTK-3796 CLD &amp; Repricing L'!C51+'CBPTINTK-23365 LCMS Funding Con'!C51+'PBBT-13832 DM Relationship 4,5,'!C51+'PBBT-23572 RESL POD Shift Left'!C51+'CBPTINTK-17774 Annual Mortgage '!C51+'Securitization November 2025 Re'!C51+'CBPTINTK-2616 Renewal Due Dilig'!C51+'CBPTINTK-23406 Upgrade DDGS Sma'!C51+'CBPTINTK-4105 Client at Risk CR'!C51+'CBPTINTK-4313 Reverse Franchisi'!C51+'PBBT-22623 Eliminate IMDS Depen'!C51+'PBBT-22425 Excalibur LFA_PBBT-2'!C51+'PBBT-23552 Excalibur to RCDW Mo'!C51+'PBPT16393 Credit Maintenance Pl'!C51+'CBPTINTK-3965 - KC Optimization'!C51+'CBPTINTK-2800 IDP CA Foundation'!C51)</f>
        <v>#REF!</v>
      </c>
      <c r="D35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43'!D51+'ATM PH Release 37.5'!D51+'CBPTINT - 3291 CLP MVP 1 Renewa'!D51+#REF!+#REF!+'CBPTINTK-3069 Project Guardian'!D51+'CBPTINTK-3517 Property Insuranc'!D51+'CBPTINTK-4356 CB Enhancements A'!D51+'CBPTINTK-3796 CLD &amp; Repricing L'!D51+'CBPTINTK-23365 LCMS Funding Con'!D51+'PBBT-13832 DM Relationship 4,5,'!D51+'PBBT-23572 RESL POD Shift Left'!D51+'CBPTINTK-17774 Annual Mortgage '!D51+'Securitization November 2025 Re'!D51+'CBPTINTK-2616 Renewal Due Dilig'!D51+'CBPTINTK-23406 Upgrade DDGS Sma'!D51+'CBPTINTK-4105 Client at Risk CR'!D51+'CBPTINTK-4313 Reverse Franchisi'!D51+'PBBT-22623 Eliminate IMDS Depen'!D51+'PBBT-22425 Excalibur LFA_PBBT-2'!D51+'PBBT-23552 Excalibur to RCDW Mo'!D51+'PBPT16393 Credit Maintenance Pl'!D51+'CBPTINTK-3965 - KC Optimization'!D51+'CBPTINTK-2800 IDP CA Foundation'!D51)</f>
        <v>#REF!</v>
      </c>
      <c r="E35" s="65">
        <f>IFERROR(D35/D31,0)</f>
        <v>0</v>
      </c>
      <c r="F35" s="65">
        <f>IFERROR((C35+D35)/(C31+D31),0)</f>
        <v>0</v>
      </c>
      <c r="G35" s="52"/>
      <c r="H35" s="52"/>
      <c r="I35" s="52"/>
      <c r="J35" s="52"/>
      <c r="K35" s="52"/>
      <c r="L35" s="52"/>
      <c r="M35" s="52"/>
      <c r="N35" s="52"/>
      <c r="O35" s="53"/>
    </row>
    <row r="36" spans="1:15">
      <c r="A36" s="113" t="s">
        <v>101</v>
      </c>
      <c r="B36" s="114"/>
      <c r="C36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43'!C52+'ATM PH Release 37.5'!C52+'CBPTINT - 3291 CLP MVP 1 Renewa'!C52+#REF!+#REF!+'CBPTINTK-3069 Project Guardian'!C52+'CBPTINTK-3517 Property Insuranc'!C52+'CBPTINTK-4356 CB Enhancements A'!C52+'CBPTINTK-3796 CLD &amp; Repricing L'!C52+'CBPTINTK-23365 LCMS Funding Con'!C52+'PBBT-13832 DM Relationship 4,5,'!C52+'PBBT-23572 RESL POD Shift Left'!C52+'CBPTINTK-17774 Annual Mortgage '!C52+'Securitization November 2025 Re'!C52+'CBPTINTK-2616 Renewal Due Dilig'!C52+'CBPTINTK-23406 Upgrade DDGS Sma'!C52+'CBPTINTK-4105 Client at Risk CR'!C52+'CBPTINTK-4313 Reverse Franchisi'!C52+'PBBT-22623 Eliminate IMDS Depen'!C52+'PBBT-22425 Excalibur LFA_PBBT-2'!C52+'PBBT-23552 Excalibur to RCDW Mo'!C52+'PBPT16393 Credit Maintenance Pl'!C52+'CBPTINTK-3965 - KC Optimization'!C52+'CBPTINTK-2800 IDP CA Foundation'!C52)</f>
        <v>#REF!</v>
      </c>
      <c r="D36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43'!D52+'ATM PH Release 37.5'!D52+'CBPTINT - 3291 CLP MVP 1 Renewa'!D52+#REF!+#REF!+'CBPTINTK-3069 Project Guardian'!D52+'CBPTINTK-3517 Property Insuranc'!D52+'CBPTINTK-4356 CB Enhancements A'!D52+'CBPTINTK-3796 CLD &amp; Repricing L'!D52+'CBPTINTK-23365 LCMS Funding Con'!D52+'PBBT-13832 DM Relationship 4,5,'!D52+'PBBT-23572 RESL POD Shift Left'!D52+'CBPTINTK-17774 Annual Mortgage '!D52+'Securitization November 2025 Re'!D52+'CBPTINTK-2616 Renewal Due Dilig'!D52+'CBPTINTK-23406 Upgrade DDGS Sma'!D52+'CBPTINTK-4105 Client at Risk CR'!D52+'CBPTINTK-4313 Reverse Franchisi'!D52+'PBBT-22623 Eliminate IMDS Depen'!D52+'PBBT-22425 Excalibur LFA_PBBT-2'!D52+'PBBT-23552 Excalibur to RCDW Mo'!D52+'PBPT16393 Credit Maintenance Pl'!D52+'CBPTINTK-3965 - KC Optimization'!D52+'CBPTINTK-2800 IDP CA Foundation'!D52)</f>
        <v>#REF!</v>
      </c>
      <c r="E36" s="65">
        <f>IFERROR(D36/D31,0)</f>
        <v>0</v>
      </c>
      <c r="F36" s="65">
        <f>IFERROR((C36+D36)/(C31+D31),0)</f>
        <v>0</v>
      </c>
      <c r="G36" s="52"/>
      <c r="H36" s="52"/>
      <c r="I36" s="52"/>
      <c r="J36" s="52"/>
      <c r="K36" s="52"/>
      <c r="L36" s="52"/>
      <c r="M36" s="52"/>
      <c r="N36" s="52"/>
      <c r="O36" s="53"/>
    </row>
    <row r="37" spans="1:15">
      <c r="A37" s="113" t="s">
        <v>103</v>
      </c>
      <c r="B37" s="114"/>
      <c r="C37" s="5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43'!C53+'ATM PH Release 37.5'!C53+'CBPTINT - 3291 CLP MVP 1 Renewa'!C53+#REF!+#REF!+'CBPTINTK-3069 Project Guardian'!C53+'CBPTINTK-3517 Property Insuranc'!C53+'CBPTINTK-4356 CB Enhancements A'!C53+'CBPTINTK-3796 CLD &amp; Repricing L'!C53+'CBPTINTK-23365 LCMS Funding Con'!C53+'PBBT-13832 DM Relationship 4,5,'!C53+'PBBT-23572 RESL POD Shift Left'!C53+'CBPTINTK-17774 Annual Mortgage '!C53+'Securitization November 2025 Re'!C53+'CBPTINTK-2616 Renewal Due Dilig'!C53+'CBPTINTK-23406 Upgrade DDGS Sma'!C53+'CBPTINTK-4105 Client at Risk CR'!C53+'CBPTINTK-4313 Reverse Franchisi'!C53+'PBBT-22623 Eliminate IMDS Depen'!C53+'PBBT-22425 Excalibur LFA_PBBT-2'!C53+'PBBT-23552 Excalibur to RCDW Mo'!C53+'PBPT16393 Credit Maintenance Pl'!C53+'CBPTINTK-3965 - KC Optimization'!C53+'CBPTINTK-2800 IDP CA Foundation'!C53)</f>
        <v>#REF!</v>
      </c>
      <c r="D37" s="5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43'!D53+'ATM PH Release 37.5'!D53+'CBPTINT - 3291 CLP MVP 1 Renewa'!D53+#REF!+#REF!+'CBPTINTK-3069 Project Guardian'!D53+'CBPTINTK-3517 Property Insuranc'!D53+'CBPTINTK-4356 CB Enhancements A'!D53+'CBPTINTK-3796 CLD &amp; Repricing L'!D53+'CBPTINTK-23365 LCMS Funding Con'!D53+'PBBT-13832 DM Relationship 4,5,'!D53+'PBBT-23572 RESL POD Shift Left'!D53+'CBPTINTK-17774 Annual Mortgage '!D53+'Securitization November 2025 Re'!D53+'CBPTINTK-2616 Renewal Due Dilig'!D53+'CBPTINTK-23406 Upgrade DDGS Sma'!D53+'CBPTINTK-4105 Client at Risk CR'!D53+'CBPTINTK-4313 Reverse Franchisi'!D53+'PBBT-22623 Eliminate IMDS Depen'!D53+'PBBT-22425 Excalibur LFA_PBBT-2'!D53+'PBBT-23552 Excalibur to RCDW Mo'!D53+'PBPT16393 Credit Maintenance Pl'!D53+'CBPTINTK-3965 - KC Optimization'!D53+'CBPTINTK-2800 IDP CA Foundation'!D53)</f>
        <v>#REF!</v>
      </c>
      <c r="E37" s="65">
        <f>IFERROR(D37/D31,0)</f>
        <v>0</v>
      </c>
      <c r="F37" s="65">
        <f>IFERROR((C37+D37)/(C31+D31),0)</f>
        <v>0</v>
      </c>
      <c r="G37" s="52"/>
      <c r="H37" s="52"/>
      <c r="I37" s="52"/>
      <c r="J37" s="52"/>
      <c r="K37" s="52"/>
      <c r="L37" s="52"/>
      <c r="M37" s="52"/>
      <c r="N37" s="52"/>
      <c r="O37" s="53"/>
    </row>
    <row r="38" spans="1:15">
      <c r="A38" s="113" t="s">
        <v>104</v>
      </c>
      <c r="B38" s="114"/>
      <c r="C38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43'!C54+'ATM PH Release 37.5'!C54+'CBPTINT - 3291 CLP MVP 1 Renewa'!C54+#REF!+#REF!+'CBPTINTK-3069 Project Guardian'!C54+'CBPTINTK-3517 Property Insuranc'!C54+'CBPTINTK-4356 CB Enhancements A'!C54+'CBPTINTK-3796 CLD &amp; Repricing L'!C54+'CBPTINTK-23365 LCMS Funding Con'!C54+'PBBT-13832 DM Relationship 4,5,'!C54+'PBBT-23572 RESL POD Shift Left'!C54+'CBPTINTK-17774 Annual Mortgage '!C54+'Securitization November 2025 Re'!C54+'CBPTINTK-2616 Renewal Due Dilig'!C54+'CBPTINTK-23406 Upgrade DDGS Sma'!C54+'CBPTINTK-4105 Client at Risk CR'!C54+'CBPTINTK-4313 Reverse Franchisi'!C54+'PBBT-22623 Eliminate IMDS Depen'!C54+'PBBT-22425 Excalibur LFA_PBBT-2'!C54+'PBBT-23552 Excalibur to RCDW Mo'!C54+'PBPT16393 Credit Maintenance Pl'!C54+'CBPTINTK-3965 - KC Optimization'!C54+'CBPTINTK-2800 IDP CA Foundation'!C54)</f>
        <v>#REF!</v>
      </c>
      <c r="D38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43'!D54+'ATM PH Release 37.5'!D54+'CBPTINT - 3291 CLP MVP 1 Renewa'!D54+#REF!+#REF!+'CBPTINTK-3069 Project Guardian'!D54+'CBPTINTK-3517 Property Insuranc'!D54+'CBPTINTK-4356 CB Enhancements A'!D54+'CBPTINTK-3796 CLD &amp; Repricing L'!D54+'CBPTINTK-23365 LCMS Funding Con'!D54+'PBBT-13832 DM Relationship 4,5,'!D54+'PBBT-23572 RESL POD Shift Left'!D54+'CBPTINTK-17774 Annual Mortgage '!D54+'Securitization November 2025 Re'!D54+'CBPTINTK-2616 Renewal Due Dilig'!D54+'CBPTINTK-23406 Upgrade DDGS Sma'!D54+'CBPTINTK-4105 Client at Risk CR'!D54+'CBPTINTK-4313 Reverse Franchisi'!D54+'PBBT-22623 Eliminate IMDS Depen'!D54+'PBBT-22425 Excalibur LFA_PBBT-2'!D54+'PBBT-23552 Excalibur to RCDW Mo'!D54+'PBPT16393 Credit Maintenance Pl'!D54+'CBPTINTK-3965 - KC Optimization'!D54+'CBPTINTK-2800 IDP CA Foundation'!D54)</f>
        <v>#REF!</v>
      </c>
      <c r="E38" s="65">
        <f>IFERROR(D38/D31,0)</f>
        <v>0</v>
      </c>
      <c r="F38" s="65">
        <f>IFERROR((C38+D38)/(C31+D31),0)</f>
        <v>0</v>
      </c>
      <c r="G38" s="52"/>
      <c r="H38" s="52"/>
      <c r="I38" s="52"/>
      <c r="J38" s="52"/>
      <c r="K38" s="52"/>
      <c r="L38" s="52"/>
      <c r="M38" s="52"/>
      <c r="N38" s="52"/>
      <c r="O38" s="53"/>
    </row>
    <row r="39" spans="1:15">
      <c r="A39" s="117" t="s">
        <v>110</v>
      </c>
      <c r="B39" s="118"/>
      <c r="C39" s="66">
        <f>IFERROR(C33/C31,0)</f>
        <v>0</v>
      </c>
      <c r="D39" s="66">
        <f>IFERROR(D33/D31,0)</f>
        <v>0</v>
      </c>
      <c r="E39" s="66">
        <f>IFERROR(D33/(C31+D31),0)</f>
        <v>0</v>
      </c>
      <c r="F39" s="66">
        <f>IFERROR((C33+D33)/(C31+D31),0)</f>
        <v>0</v>
      </c>
      <c r="G39" s="52"/>
      <c r="H39" s="52"/>
      <c r="I39" s="52"/>
      <c r="J39" s="52"/>
      <c r="K39" s="52"/>
      <c r="L39" s="52"/>
      <c r="M39" s="52"/>
      <c r="N39" s="52"/>
      <c r="O39" s="53"/>
    </row>
    <row r="40" spans="1:15">
      <c r="A40" s="3" t="s">
        <v>105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  <row r="41" spans="1:1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3"/>
    </row>
    <row r="42" spans="1:1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3"/>
    </row>
    <row r="43" spans="1:15" ht="29.1">
      <c r="A43" s="119" t="s">
        <v>111</v>
      </c>
      <c r="B43" s="120"/>
      <c r="C43" s="13" t="s">
        <v>107</v>
      </c>
      <c r="D43" s="13" t="s">
        <v>96</v>
      </c>
      <c r="E43" s="13" t="s">
        <v>108</v>
      </c>
      <c r="F43" s="12" t="s">
        <v>97</v>
      </c>
      <c r="G43" s="52"/>
      <c r="H43" s="52"/>
      <c r="I43" s="52"/>
      <c r="J43" s="52"/>
      <c r="K43" s="52"/>
      <c r="L43" s="52"/>
      <c r="M43" s="52"/>
      <c r="N43" s="52"/>
      <c r="O43" s="53"/>
    </row>
    <row r="44" spans="1:15">
      <c r="A44" s="115" t="s">
        <v>109</v>
      </c>
      <c r="B44" s="116"/>
      <c r="C44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43'!C60+'ATM PH Release 37.5'!C60+'CBPTINT - 3291 CLP MVP 1 Renewa'!C60+#REF!+#REF!+'CBPTINTK-3069 Project Guardian'!C60+'CBPTINTK-3517 Property Insuranc'!C60+'CBPTINTK-4356 CB Enhancements A'!C60+'CBPTINTK-3796 CLD &amp; Repricing L'!C60+'CBPTINTK-23365 LCMS Funding Con'!C60+'PBBT-13832 DM Relationship 4,5,'!C60+'PBBT-23572 RESL POD Shift Left'!C60+'CBPTINTK-17774 Annual Mortgage '!C60+'Securitization November 2025 Re'!C60+'CBPTINTK-2616 Renewal Due Dilig'!C60+'CBPTINTK-23406 Upgrade DDGS Sma'!C60+'CBPTINTK-4105 Client at Risk CR'!C60+'CBPTINTK-4313 Reverse Franchisi'!C60+'PBBT-22623 Eliminate IMDS Depen'!C60+'PBBT-22425 Excalibur LFA_PBBT-2'!C60+'PBBT-23552 Excalibur to RCDW Mo'!C60+'PBPT16393 Credit Maintenance Pl'!C60+'CBPTINTK-3965 - KC Optimization'!C60+'CBPTINTK-2800 IDP CA Foundation'!C60)</f>
        <v>#REF!</v>
      </c>
      <c r="D44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43'!D60+'ATM PH Release 37.5'!D60+'CBPTINT - 3291 CLP MVP 1 Renewa'!D60+#REF!+#REF!+'CBPTINTK-3069 Project Guardian'!D60+'CBPTINTK-3517 Property Insuranc'!D60+'CBPTINTK-4356 CB Enhancements A'!D60+'CBPTINTK-3796 CLD &amp; Repricing L'!D60+'CBPTINTK-23365 LCMS Funding Con'!D60+'PBBT-13832 DM Relationship 4,5,'!D60+'PBBT-23572 RESL POD Shift Left'!D60+'CBPTINTK-17774 Annual Mortgage '!D60+'Securitization November 2025 Re'!D60+'CBPTINTK-2616 Renewal Due Dilig'!D60+'CBPTINTK-23406 Upgrade DDGS Sma'!D60+'CBPTINTK-4105 Client at Risk CR'!D60+'CBPTINTK-4313 Reverse Franchisi'!D60+'PBBT-22623 Eliminate IMDS Depen'!D60+'PBBT-22425 Excalibur LFA_PBBT-2'!D60+'PBBT-23552 Excalibur to RCDW Mo'!D60+'PBPT16393 Credit Maintenance Pl'!D60+'CBPTINTK-3965 - KC Optimization'!D60+'CBPTINTK-2800 IDP CA Foundation'!D60)</f>
        <v>#REF!</v>
      </c>
      <c r="E44" s="60">
        <f>IFERROR(D44/(D44+C44),0)</f>
        <v>0</v>
      </c>
      <c r="F44" s="65">
        <f>IFERROR((C44+D44)/(C42),0)</f>
        <v>0</v>
      </c>
      <c r="G44" s="52"/>
      <c r="H44" s="52"/>
      <c r="I44" s="52"/>
      <c r="J44" s="52"/>
      <c r="K44" s="52"/>
      <c r="L44" s="52"/>
      <c r="M44" s="52"/>
      <c r="N44" s="52"/>
      <c r="O44" s="53"/>
    </row>
    <row r="45" spans="1:15">
      <c r="A45" s="115" t="s">
        <v>98</v>
      </c>
      <c r="B45" s="116"/>
      <c r="C45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43'!C61+'ATM PH Release 37.5'!C61+'CBPTINT - 3291 CLP MVP 1 Renewa'!C61+#REF!+#REF!+'CBPTINTK-3069 Project Guardian'!C61+'CBPTINTK-3517 Property Insuranc'!C61+'CBPTINTK-4356 CB Enhancements A'!C61+'CBPTINTK-3796 CLD &amp; Repricing L'!C61+'CBPTINTK-23365 LCMS Funding Con'!C61+'PBBT-13832 DM Relationship 4,5,'!C61+'PBBT-23572 RESL POD Shift Left'!C61+'CBPTINTK-17774 Annual Mortgage '!C61+'Securitization November 2025 Re'!C61+'CBPTINTK-2616 Renewal Due Dilig'!C61+'CBPTINTK-23406 Upgrade DDGS Sma'!C61+'CBPTINTK-4105 Client at Risk CR'!C61+'CBPTINTK-4313 Reverse Franchisi'!C61+'PBBT-22623 Eliminate IMDS Depen'!C61+'PBBT-22425 Excalibur LFA_PBBT-2'!C61+'PBBT-23552 Excalibur to RCDW Mo'!C61+'PBPT16393 Credit Maintenance Pl'!C61+'CBPTINTK-3965 - KC Optimization'!C61+'CBPTINTK-2800 IDP CA Foundation'!C61)</f>
        <v>#REF!</v>
      </c>
      <c r="D45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43'!D61+'ATM PH Release 37.5'!D61+'CBPTINT - 3291 CLP MVP 1 Renewa'!D61+#REF!+#REF!+'CBPTINTK-3069 Project Guardian'!D61+'CBPTINTK-3517 Property Insuranc'!D61+'CBPTINTK-4356 CB Enhancements A'!D61+'CBPTINTK-3796 CLD &amp; Repricing L'!D61+'CBPTINTK-23365 LCMS Funding Con'!D61+'PBBT-13832 DM Relationship 4,5,'!D61+'PBBT-23572 RESL POD Shift Left'!D61+'CBPTINTK-17774 Annual Mortgage '!D61+'Securitization November 2025 Re'!D61+'CBPTINTK-2616 Renewal Due Dilig'!D61+'CBPTINTK-23406 Upgrade DDGS Sma'!D61+'CBPTINTK-4105 Client at Risk CR'!D61+'CBPTINTK-4313 Reverse Franchisi'!D61+'PBBT-22623 Eliminate IMDS Depen'!D61+'PBBT-22425 Excalibur LFA_PBBT-2'!D61+'PBBT-23552 Excalibur to RCDW Mo'!D61+'PBPT16393 Credit Maintenance Pl'!D61+'CBPTINTK-3965 - KC Optimization'!D61+'CBPTINTK-2800 IDP CA Foundation'!D61)</f>
        <v>#REF!</v>
      </c>
      <c r="E45" s="60">
        <f>IFERROR(D45/(D45+C45),0)</f>
        <v>0</v>
      </c>
      <c r="F45" s="65">
        <f>IFERROR((C45+D45)/(C44+D44),0)</f>
        <v>0</v>
      </c>
      <c r="G45" s="52"/>
      <c r="H45" s="52"/>
      <c r="I45" s="52"/>
      <c r="J45" s="52"/>
      <c r="K45" s="52"/>
      <c r="L45" s="52"/>
      <c r="M45" s="52"/>
      <c r="N45" s="52"/>
      <c r="O45" s="53"/>
    </row>
    <row r="46" spans="1:15">
      <c r="A46" s="113" t="s">
        <v>99</v>
      </c>
      <c r="B46" s="114"/>
      <c r="C46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43'!C62+'ATM PH Release 37.5'!C62+'CBPTINT - 3291 CLP MVP 1 Renewa'!C62+#REF!+#REF!+'CBPTINTK-3069 Project Guardian'!C62+'CBPTINTK-3517 Property Insuranc'!C62+'CBPTINTK-4356 CB Enhancements A'!C62+'CBPTINTK-3796 CLD &amp; Repricing L'!C62+'CBPTINTK-23365 LCMS Funding Con'!C62+'PBBT-13832 DM Relationship 4,5,'!C62+'PBBT-23572 RESL POD Shift Left'!C62+'CBPTINTK-17774 Annual Mortgage '!C62+'Securitization November 2025 Re'!C62+'CBPTINTK-2616 Renewal Due Dilig'!C62+'CBPTINTK-23406 Upgrade DDGS Sma'!C62+'CBPTINTK-4105 Client at Risk CR'!C62+'CBPTINTK-4313 Reverse Franchisi'!C62+'PBBT-22623 Eliminate IMDS Depen'!C62+'PBBT-22425 Excalibur LFA_PBBT-2'!C62+'PBBT-23552 Excalibur to RCDW Mo'!C62+'PBPT16393 Credit Maintenance Pl'!C62+'CBPTINTK-3965 - KC Optimization'!C62+'CBPTINTK-2800 IDP CA Foundation'!C62)</f>
        <v>#REF!</v>
      </c>
      <c r="D46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43'!D62+'ATM PH Release 37.5'!D62+'CBPTINT - 3291 CLP MVP 1 Renewa'!D62+#REF!+#REF!+'CBPTINTK-3069 Project Guardian'!D62+'CBPTINTK-3517 Property Insuranc'!D62+'CBPTINTK-4356 CB Enhancements A'!D62+'CBPTINTK-3796 CLD &amp; Repricing L'!D62+'CBPTINTK-23365 LCMS Funding Con'!D62+'PBBT-13832 DM Relationship 4,5,'!D62+'PBBT-23572 RESL POD Shift Left'!D62+'CBPTINTK-17774 Annual Mortgage '!D62+'Securitization November 2025 Re'!D62+'CBPTINTK-2616 Renewal Due Dilig'!D62+'CBPTINTK-23406 Upgrade DDGS Sma'!D62+'CBPTINTK-4105 Client at Risk CR'!D62+'CBPTINTK-4313 Reverse Franchisi'!D62+'PBBT-22623 Eliminate IMDS Depen'!D62+'PBBT-22425 Excalibur LFA_PBBT-2'!D62+'PBBT-23552 Excalibur to RCDW Mo'!D62+'PBPT16393 Credit Maintenance Pl'!D62+'CBPTINTK-3965 - KC Optimization'!D62+'CBPTINTK-2800 IDP CA Foundation'!D62)</f>
        <v>#REF!</v>
      </c>
      <c r="E46" s="65">
        <f>IFERROR(D46/D45,0)</f>
        <v>0</v>
      </c>
      <c r="F46" s="65">
        <f>IFERROR((C46+D46)/(C45+D45),0)</f>
        <v>0</v>
      </c>
      <c r="G46" s="52"/>
      <c r="H46" s="52"/>
      <c r="I46" s="52"/>
      <c r="J46" s="52"/>
      <c r="K46" s="52"/>
      <c r="L46" s="52"/>
      <c r="M46" s="52"/>
      <c r="N46" s="52"/>
      <c r="O46" s="53"/>
    </row>
    <row r="47" spans="1:15">
      <c r="A47" s="113" t="s">
        <v>100</v>
      </c>
      <c r="B47" s="114"/>
      <c r="C47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43'!C63+'ATM PH Release 37.5'!C63+'CBPTINT - 3291 CLP MVP 1 Renewa'!C63+#REF!+#REF!+'CBPTINTK-3069 Project Guardian'!C63+'CBPTINTK-3517 Property Insuranc'!C63+'CBPTINTK-4356 CB Enhancements A'!C63+'CBPTINTK-3796 CLD &amp; Repricing L'!C63+'CBPTINTK-23365 LCMS Funding Con'!C63+'PBBT-13832 DM Relationship 4,5,'!C63+'PBBT-23572 RESL POD Shift Left'!C63+'CBPTINTK-17774 Annual Mortgage '!C63+'Securitization November 2025 Re'!C63+'CBPTINTK-2616 Renewal Due Dilig'!C63+'CBPTINTK-23406 Upgrade DDGS Sma'!C63+'CBPTINTK-4105 Client at Risk CR'!C63+'CBPTINTK-4313 Reverse Franchisi'!C63+'PBBT-22623 Eliminate IMDS Depen'!C63+'PBBT-22425 Excalibur LFA_PBBT-2'!C63+'PBBT-23552 Excalibur to RCDW Mo'!C63+'PBPT16393 Credit Maintenance Pl'!C63+'CBPTINTK-3965 - KC Optimization'!C63+'CBPTINTK-2800 IDP CA Foundation'!C63)</f>
        <v>#REF!</v>
      </c>
      <c r="D47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43'!D63+'ATM PH Release 37.5'!D63+'CBPTINT - 3291 CLP MVP 1 Renewa'!D63+#REF!+#REF!+'CBPTINTK-3069 Project Guardian'!D63+'CBPTINTK-3517 Property Insuranc'!D63+'CBPTINTK-4356 CB Enhancements A'!D63+'CBPTINTK-3796 CLD &amp; Repricing L'!D63+'CBPTINTK-23365 LCMS Funding Con'!D63+'PBBT-13832 DM Relationship 4,5,'!D63+'PBBT-23572 RESL POD Shift Left'!D63+'CBPTINTK-17774 Annual Mortgage '!D63+'Securitization November 2025 Re'!D63+'CBPTINTK-2616 Renewal Due Dilig'!D63+'CBPTINTK-23406 Upgrade DDGS Sma'!D63+'CBPTINTK-4105 Client at Risk CR'!D63+'CBPTINTK-4313 Reverse Franchisi'!D63+'PBBT-22623 Eliminate IMDS Depen'!D63+'PBBT-22425 Excalibur LFA_PBBT-2'!D63+'PBBT-23552 Excalibur to RCDW Mo'!D63+'PBPT16393 Credit Maintenance Pl'!D63+'CBPTINTK-3965 - KC Optimization'!D63+'CBPTINTK-2800 IDP CA Foundation'!D63)</f>
        <v>#REF!</v>
      </c>
      <c r="E47" s="65">
        <f>IFERROR(D47/D45,0)</f>
        <v>0</v>
      </c>
      <c r="F47" s="65">
        <f>IFERROR((C47+D47)/(C45+D45),0)</f>
        <v>0</v>
      </c>
      <c r="G47" s="52"/>
      <c r="H47" s="52"/>
      <c r="I47" s="52"/>
      <c r="J47" s="52"/>
      <c r="K47" s="52"/>
      <c r="L47" s="52"/>
      <c r="M47" s="52"/>
      <c r="N47" s="52"/>
      <c r="O47" s="53"/>
    </row>
    <row r="48" spans="1:15">
      <c r="A48" s="113" t="s">
        <v>102</v>
      </c>
      <c r="B48" s="114"/>
      <c r="C48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43'!C64+'ATM PH Release 37.5'!C64+'CBPTINT - 3291 CLP MVP 1 Renewa'!C64+#REF!+#REF!+'CBPTINTK-3069 Project Guardian'!C64+'CBPTINTK-3517 Property Insuranc'!C64+'CBPTINTK-4356 CB Enhancements A'!C64+'CBPTINTK-3796 CLD &amp; Repricing L'!C64+'CBPTINTK-23365 LCMS Funding Con'!C64+'PBBT-13832 DM Relationship 4,5,'!C64+'PBBT-23572 RESL POD Shift Left'!C64+'CBPTINTK-17774 Annual Mortgage '!C64+'Securitization November 2025 Re'!C64+'CBPTINTK-2616 Renewal Due Dilig'!C64+'CBPTINTK-23406 Upgrade DDGS Sma'!C64+'CBPTINTK-4105 Client at Risk CR'!C64+'CBPTINTK-4313 Reverse Franchisi'!C64+'PBBT-22623 Eliminate IMDS Depen'!C64+'PBBT-22425 Excalibur LFA_PBBT-2'!C64+'PBBT-23552 Excalibur to RCDW Mo'!C64+'PBPT16393 Credit Maintenance Pl'!C64+'CBPTINTK-3965 - KC Optimization'!C64+'CBPTINTK-2800 IDP CA Foundation'!C64)</f>
        <v>#REF!</v>
      </c>
      <c r="D48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43'!D64+'ATM PH Release 37.5'!D64+'CBPTINT - 3291 CLP MVP 1 Renewa'!D64+#REF!+#REF!+'CBPTINTK-3069 Project Guardian'!D64+'CBPTINTK-3517 Property Insuranc'!D64+'CBPTINTK-4356 CB Enhancements A'!D64+'CBPTINTK-3796 CLD &amp; Repricing L'!D64+'CBPTINTK-23365 LCMS Funding Con'!D64+'PBBT-13832 DM Relationship 4,5,'!D64+'PBBT-23572 RESL POD Shift Left'!D64+'CBPTINTK-17774 Annual Mortgage '!D64+'Securitization November 2025 Re'!D64+'CBPTINTK-2616 Renewal Due Dilig'!D64+'CBPTINTK-23406 Upgrade DDGS Sma'!D64+'CBPTINTK-4105 Client at Risk CR'!D64+'CBPTINTK-4313 Reverse Franchisi'!D64+'PBBT-22623 Eliminate IMDS Depen'!D64+'PBBT-22425 Excalibur LFA_PBBT-2'!D64+'PBBT-23552 Excalibur to RCDW Mo'!D64+'PBPT16393 Credit Maintenance Pl'!D64+'CBPTINTK-3965 - KC Optimization'!D64+'CBPTINTK-2800 IDP CA Foundation'!D64)</f>
        <v>#REF!</v>
      </c>
      <c r="E48" s="65">
        <f>IFERROR(D48/D44,0)</f>
        <v>0</v>
      </c>
      <c r="F48" s="65">
        <f>IFERROR((C48+D48)/(C44+D44),0)</f>
        <v>0</v>
      </c>
      <c r="G48" s="52"/>
      <c r="H48" s="52"/>
      <c r="I48" s="52"/>
      <c r="J48" s="52"/>
      <c r="K48" s="52"/>
      <c r="L48" s="52"/>
      <c r="M48" s="52"/>
      <c r="N48" s="52"/>
      <c r="O48" s="53"/>
    </row>
    <row r="49" spans="1:15" ht="16.5" customHeight="1">
      <c r="A49" s="113" t="s">
        <v>101</v>
      </c>
      <c r="B49" s="114"/>
      <c r="C49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43'!C65+'ATM PH Release 37.5'!C65+'CBPTINT - 3291 CLP MVP 1 Renewa'!C65+#REF!+#REF!+'CBPTINTK-3069 Project Guardian'!C65+'CBPTINTK-3517 Property Insuranc'!C65+'CBPTINTK-4356 CB Enhancements A'!C65+'CBPTINTK-3796 CLD &amp; Repricing L'!C65+'CBPTINTK-23365 LCMS Funding Con'!C65+'PBBT-13832 DM Relationship 4,5,'!C65+'PBBT-23572 RESL POD Shift Left'!C65+'CBPTINTK-17774 Annual Mortgage '!C65+'Securitization November 2025 Re'!C65+'CBPTINTK-2616 Renewal Due Dilig'!C65+'CBPTINTK-23406 Upgrade DDGS Sma'!C65+'CBPTINTK-4105 Client at Risk CR'!C65+'CBPTINTK-4313 Reverse Franchisi'!C65+'PBBT-22623 Eliminate IMDS Depen'!C65+'PBBT-22425 Excalibur LFA_PBBT-2'!C65+'PBBT-23552 Excalibur to RCDW Mo'!C65+'PBPT16393 Credit Maintenance Pl'!C65+'CBPTINTK-3965 - KC Optimization'!C65+'CBPTINTK-2800 IDP CA Foundation'!C65)</f>
        <v>#REF!</v>
      </c>
      <c r="D49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43'!D65+'ATM PH Release 37.5'!D65+'CBPTINT - 3291 CLP MVP 1 Renewa'!D65+#REF!+#REF!+'CBPTINTK-3069 Project Guardian'!D65+'CBPTINTK-3517 Property Insuranc'!D65+'CBPTINTK-4356 CB Enhancements A'!D65+'CBPTINTK-3796 CLD &amp; Repricing L'!D65+'CBPTINTK-23365 LCMS Funding Con'!D65+'PBBT-13832 DM Relationship 4,5,'!D65+'PBBT-23572 RESL POD Shift Left'!D65+'CBPTINTK-17774 Annual Mortgage '!D65+'Securitization November 2025 Re'!D65+'CBPTINTK-2616 Renewal Due Dilig'!D65+'CBPTINTK-23406 Upgrade DDGS Sma'!D65+'CBPTINTK-4105 Client at Risk CR'!D65+'CBPTINTK-4313 Reverse Franchisi'!D65+'PBBT-22623 Eliminate IMDS Depen'!D65+'PBBT-22425 Excalibur LFA_PBBT-2'!D65+'PBBT-23552 Excalibur to RCDW Mo'!D65+'PBPT16393 Credit Maintenance Pl'!D65+'CBPTINTK-3965 - KC Optimization'!D65+'CBPTINTK-2800 IDP CA Foundation'!D65)</f>
        <v>#REF!</v>
      </c>
      <c r="E49" s="65">
        <f>IFERROR(D49/D44,0)</f>
        <v>0</v>
      </c>
      <c r="F49" s="65">
        <f>IFERROR((C49+D49)/(C44+D44),0)</f>
        <v>0</v>
      </c>
      <c r="G49" s="52"/>
      <c r="H49" s="52"/>
      <c r="I49" s="52"/>
      <c r="J49" s="52"/>
      <c r="K49" s="52"/>
      <c r="L49" s="52"/>
      <c r="M49" s="52"/>
      <c r="N49" s="52"/>
      <c r="O49" s="53"/>
    </row>
    <row r="50" spans="1:15">
      <c r="A50" s="113" t="s">
        <v>103</v>
      </c>
      <c r="B50" s="114"/>
      <c r="C50" s="5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43'!C66+'ATM PH Release 37.5'!C66+'CBPTINT - 3291 CLP MVP 1 Renewa'!C66+#REF!+#REF!+'CBPTINTK-3069 Project Guardian'!C66+'CBPTINTK-3517 Property Insuranc'!C66+'CBPTINTK-4356 CB Enhancements A'!C66+'CBPTINTK-3796 CLD &amp; Repricing L'!C66+'CBPTINTK-23365 LCMS Funding Con'!C66+'PBBT-13832 DM Relationship 4,5,'!C66+'PBBT-23572 RESL POD Shift Left'!C66+'CBPTINTK-17774 Annual Mortgage '!C66+'Securitization November 2025 Re'!C66+'CBPTINTK-2616 Renewal Due Dilig'!C66+'CBPTINTK-23406 Upgrade DDGS Sma'!C66+'CBPTINTK-4105 Client at Risk CR'!C66+'CBPTINTK-4313 Reverse Franchisi'!C66+'PBBT-22623 Eliminate IMDS Depen'!C66+'PBBT-22425 Excalibur LFA_PBBT-2'!C66+'PBBT-23552 Excalibur to RCDW Mo'!C66+'PBPT16393 Credit Maintenance Pl'!C66+'CBPTINTK-3965 - KC Optimization'!C66+'CBPTINTK-2800 IDP CA Foundation'!C66)</f>
        <v>#REF!</v>
      </c>
      <c r="D50" s="5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43'!D66+'ATM PH Release 37.5'!D66+'CBPTINT - 3291 CLP MVP 1 Renewa'!D66+#REF!+#REF!+'CBPTINTK-3069 Project Guardian'!D66+'CBPTINTK-3517 Property Insuranc'!D66+'CBPTINTK-4356 CB Enhancements A'!D66+'CBPTINTK-3796 CLD &amp; Repricing L'!D66+'CBPTINTK-23365 LCMS Funding Con'!D66+'PBBT-13832 DM Relationship 4,5,'!D66+'PBBT-23572 RESL POD Shift Left'!D66+'CBPTINTK-17774 Annual Mortgage '!D66+'Securitization November 2025 Re'!D66+'CBPTINTK-2616 Renewal Due Dilig'!D66+'CBPTINTK-23406 Upgrade DDGS Sma'!D66+'CBPTINTK-4105 Client at Risk CR'!D66+'CBPTINTK-4313 Reverse Franchisi'!D66+'PBBT-22623 Eliminate IMDS Depen'!D66+'PBBT-22425 Excalibur LFA_PBBT-2'!D66+'PBBT-23552 Excalibur to RCDW Mo'!D66+'PBPT16393 Credit Maintenance Pl'!D66+'CBPTINTK-3965 - KC Optimization'!D66+'CBPTINTK-2800 IDP CA Foundation'!D66)</f>
        <v>#REF!</v>
      </c>
      <c r="E50" s="65">
        <f>IFERROR(D50/D44,0)</f>
        <v>0</v>
      </c>
      <c r="F50" s="65">
        <f>IFERROR((C50+D50)/(C44+D44),0)</f>
        <v>0</v>
      </c>
      <c r="G50" s="52"/>
      <c r="H50" s="52"/>
      <c r="I50" s="52"/>
      <c r="J50" s="52"/>
      <c r="K50" s="52"/>
      <c r="L50" s="52"/>
      <c r="M50" s="52"/>
      <c r="N50" s="52"/>
      <c r="O50" s="53"/>
    </row>
    <row r="51" spans="1:15">
      <c r="A51" s="113" t="s">
        <v>104</v>
      </c>
      <c r="B51" s="114"/>
      <c r="C51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43'!C67+'ATM PH Release 37.5'!C67+'CBPTINT - 3291 CLP MVP 1 Renewa'!C67+#REF!+#REF!+'CBPTINTK-3069 Project Guardian'!C67+'CBPTINTK-3517 Property Insuranc'!C67+'CBPTINTK-4356 CB Enhancements A'!C67+'CBPTINTK-3796 CLD &amp; Repricing L'!C67+'CBPTINTK-23365 LCMS Funding Con'!C67+'PBBT-13832 DM Relationship 4,5,'!C67+'PBBT-23572 RESL POD Shift Left'!C67+'CBPTINTK-17774 Annual Mortgage '!C67+'Securitization November 2025 Re'!C67+'CBPTINTK-2616 Renewal Due Dilig'!C67+'CBPTINTK-23406 Upgrade DDGS Sma'!C67+'CBPTINTK-4105 Client at Risk CR'!C67+'CBPTINTK-4313 Reverse Franchisi'!C67+'PBBT-22623 Eliminate IMDS Depen'!C67+'PBBT-22425 Excalibur LFA_PBBT-2'!C67+'PBBT-23552 Excalibur to RCDW Mo'!C67+'PBPT16393 Credit Maintenance Pl'!C67+'CBPTINTK-3965 - KC Optimization'!C67+'CBPTINTK-2800 IDP CA Foundation'!C67)</f>
        <v>#REF!</v>
      </c>
      <c r="D51" s="59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43'!D67+'ATM PH Release 37.5'!D67+'CBPTINT - 3291 CLP MVP 1 Renewa'!D67+#REF!+#REF!+'CBPTINTK-3069 Project Guardian'!D67+'CBPTINTK-3517 Property Insuranc'!D67+'CBPTINTK-4356 CB Enhancements A'!D67+'CBPTINTK-3796 CLD &amp; Repricing L'!D67+'CBPTINTK-23365 LCMS Funding Con'!D67+'PBBT-13832 DM Relationship 4,5,'!D67+'PBBT-23572 RESL POD Shift Left'!D67+'CBPTINTK-17774 Annual Mortgage '!D67+'Securitization November 2025 Re'!D67+'CBPTINTK-2616 Renewal Due Dilig'!D67+'CBPTINTK-23406 Upgrade DDGS Sma'!D67+'CBPTINTK-4105 Client at Risk CR'!D67+'CBPTINTK-4313 Reverse Franchisi'!D67+'PBBT-22623 Eliminate IMDS Depen'!D67+'PBBT-22425 Excalibur LFA_PBBT-2'!D67+'PBBT-23552 Excalibur to RCDW Mo'!D67+'PBPT16393 Credit Maintenance Pl'!D67+'CBPTINTK-3965 - KC Optimization'!D67+'CBPTINTK-2800 IDP CA Foundation'!D67)</f>
        <v>#REF!</v>
      </c>
      <c r="E51" s="65">
        <f>IFERROR(D51/D44,0)</f>
        <v>0</v>
      </c>
      <c r="F51" s="65">
        <f>IFERROR((C51+D51)/(C44+D44),0)</f>
        <v>0</v>
      </c>
      <c r="G51" s="52"/>
      <c r="H51" s="52"/>
      <c r="I51" s="52"/>
      <c r="J51" s="52"/>
      <c r="K51" s="52"/>
      <c r="L51" s="52"/>
      <c r="M51" s="52"/>
      <c r="N51" s="52"/>
      <c r="O51" s="53"/>
    </row>
    <row r="52" spans="1:15">
      <c r="A52" s="117" t="s">
        <v>110</v>
      </c>
      <c r="B52" s="118"/>
      <c r="C52" s="66">
        <f>IFERROR(C46/C44,0)</f>
        <v>0</v>
      </c>
      <c r="D52" s="66">
        <f>IFERROR(D46/D44,0)</f>
        <v>0</v>
      </c>
      <c r="E52" s="66">
        <f>IFERROR(D46/(C44+D44),0)</f>
        <v>0</v>
      </c>
      <c r="F52" s="66">
        <f>IFERROR((C46+D46)/(C44+D44),0)</f>
        <v>0</v>
      </c>
      <c r="G52" s="52"/>
      <c r="H52" s="52"/>
      <c r="I52" s="52"/>
      <c r="J52" s="52"/>
      <c r="K52" s="52"/>
      <c r="L52" s="52"/>
      <c r="M52" s="52"/>
      <c r="N52" s="52"/>
      <c r="O52" s="53"/>
    </row>
    <row r="53" spans="1:15" ht="16.5" customHeight="1">
      <c r="A53" s="3" t="s">
        <v>105</v>
      </c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3"/>
    </row>
    <row r="54" spans="1:1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3"/>
    </row>
    <row r="55" spans="1:1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3"/>
    </row>
    <row r="56" spans="1:15">
      <c r="A56" s="108" t="s">
        <v>112</v>
      </c>
      <c r="B56" s="108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3"/>
    </row>
    <row r="57" spans="1:15">
      <c r="A57" s="109" t="s">
        <v>113</v>
      </c>
      <c r="B57" s="110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3"/>
    </row>
    <row r="58" spans="1:15">
      <c r="A58" s="111"/>
      <c r="B58" s="112"/>
      <c r="C58" s="107" t="s">
        <v>114</v>
      </c>
      <c r="D58" s="107"/>
      <c r="E58" s="107" t="s">
        <v>115</v>
      </c>
      <c r="F58" s="107"/>
      <c r="G58" s="107" t="s">
        <v>116</v>
      </c>
      <c r="H58" s="107"/>
      <c r="I58" s="52"/>
      <c r="J58" s="52"/>
      <c r="K58" s="52"/>
      <c r="L58" s="52"/>
      <c r="M58" s="52"/>
      <c r="N58" s="52"/>
      <c r="O58" s="53"/>
    </row>
    <row r="59" spans="1:15">
      <c r="A59" s="106" t="s">
        <v>117</v>
      </c>
      <c r="B59" s="106"/>
      <c r="C59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43'!C75+'ATM PH Release 37.5'!C75+'CBPTINT - 3291 CLP MVP 1 Renewa'!C75+#REF!+#REF!+'CBPTINTK-3069 Project Guardian'!C75+'CBPTINTK-3517 Property Insuranc'!C75+'CBPTINTK-4356 CB Enhancements A'!C75+'CBPTINTK-3796 CLD &amp; Repricing L'!C75+'CBPTINTK-23365 LCMS Funding Con'!C75+'PBBT-13832 DM Relationship 4,5,'!C75+'PBBT-23572 RESL POD Shift Left'!C75+'CBPTINTK-17774 Annual Mortgage '!C75+'Securitization November 2025 Re'!C75+'CBPTINTK-2616 Renewal Due Dilig'!C75+'CBPTINTK-23406 Upgrade DDGS Sma'!C75+'CBPTINTK-4105 Client at Risk CR'!C75+'CBPTINTK-4313 Reverse Franchisi'!C75+'PBBT-22623 Eliminate IMDS Depen'!C75+'PBBT-22425 Excalibur LFA_PBBT-2'!C75+'PBBT-23552 Excalibur to RCDW Mo'!C75+'PBPT16393 Credit Maintenance Pl'!C75+'CBPTINTK-3965 - KC Optimization'!C75+'CBPTINTK-2800 IDP CA Foundation'!C75)</f>
        <v>#REF!</v>
      </c>
      <c r="D59" s="104"/>
      <c r="E59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43'!E75+'ATM PH Release 37.5'!E75+'CBPTINT - 3291 CLP MVP 1 Renewa'!E75+#REF!+#REF!+'CBPTINTK-3069 Project Guardian'!E75+'CBPTINTK-3517 Property Insuranc'!E75+'CBPTINTK-4356 CB Enhancements A'!E75+'CBPTINTK-3796 CLD &amp; Repricing L'!E75+'CBPTINTK-23365 LCMS Funding Con'!E75+'PBBT-13832 DM Relationship 4,5,'!E75+'PBBT-23572 RESL POD Shift Left'!E75+'CBPTINTK-17774 Annual Mortgage '!E75+'Securitization November 2025 Re'!E75+'CBPTINTK-2616 Renewal Due Dilig'!E75+'CBPTINTK-23406 Upgrade DDGS Sma'!E75+'CBPTINTK-4105 Client at Risk CR'!E75+'CBPTINTK-4313 Reverse Franchisi'!E75+'PBBT-22623 Eliminate IMDS Depen'!E75+'PBBT-22425 Excalibur LFA_PBBT-2'!E75+'PBBT-23552 Excalibur to RCDW Mo'!E75+'PBPT16393 Credit Maintenance Pl'!E75+'CBPTINTK-3965 - KC Optimization'!E75+'CBPTINTK-2800 IDP CA Foundation'!E75)</f>
        <v>#REF!</v>
      </c>
      <c r="F59" s="104"/>
      <c r="G59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43'!G75+'ATM PH Release 37.5'!G75+'CBPTINT - 3291 CLP MVP 1 Renewa'!G75+#REF!+#REF!+'CBPTINTK-3069 Project Guardian'!G75+'CBPTINTK-3517 Property Insuranc'!G75+'CBPTINTK-4356 CB Enhancements A'!G75+'CBPTINTK-3796 CLD &amp; Repricing L'!G75+'CBPTINTK-23365 LCMS Funding Con'!G75+'PBBT-13832 DM Relationship 4,5,'!G75+'PBBT-23572 RESL POD Shift Left'!G75+'CBPTINTK-17774 Annual Mortgage '!G75+'Securitization November 2025 Re'!G75+'CBPTINTK-2616 Renewal Due Dilig'!G75+'CBPTINTK-23406 Upgrade DDGS Sma'!G75+'CBPTINTK-4105 Client at Risk CR'!G75+'CBPTINTK-4313 Reverse Franchisi'!G75+'PBBT-22623 Eliminate IMDS Depen'!G75+'PBBT-22425 Excalibur LFA_PBBT-2'!G75+'PBBT-23552 Excalibur to RCDW Mo'!G75+'PBPT16393 Credit Maintenance Pl'!G75+'CBPTINTK-3965 - KC Optimization'!G75+'CBPTINTK-2800 IDP CA Foundation'!G75)</f>
        <v>#REF!</v>
      </c>
      <c r="H59" s="104"/>
      <c r="I59" s="52"/>
      <c r="J59" s="52"/>
      <c r="K59" s="52"/>
      <c r="L59" s="52"/>
      <c r="M59" s="52"/>
      <c r="N59" s="52"/>
      <c r="O59" s="53"/>
    </row>
    <row r="60" spans="1:15">
      <c r="A60" s="106" t="s">
        <v>118</v>
      </c>
      <c r="B60" s="106"/>
      <c r="C60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43'!C76+'ATM PH Release 37.5'!C76+'CBPTINT - 3291 CLP MVP 1 Renewa'!C76+#REF!+#REF!+'CBPTINTK-3069 Project Guardian'!C76+'CBPTINTK-3517 Property Insuranc'!C76+'CBPTINTK-4356 CB Enhancements A'!C76+'CBPTINTK-3796 CLD &amp; Repricing L'!C76+'CBPTINTK-23365 LCMS Funding Con'!C76+'PBBT-13832 DM Relationship 4,5,'!C76+'PBBT-23572 RESL POD Shift Left'!C76+'CBPTINTK-17774 Annual Mortgage '!C76+'Securitization November 2025 Re'!C76+'CBPTINTK-2616 Renewal Due Dilig'!C76+'CBPTINTK-23406 Upgrade DDGS Sma'!C76+'CBPTINTK-4105 Client at Risk CR'!C76+'CBPTINTK-4313 Reverse Franchisi'!C76+'PBBT-22623 Eliminate IMDS Depen'!C76+'PBBT-22425 Excalibur LFA_PBBT-2'!C76+'PBBT-23552 Excalibur to RCDW Mo'!C76+'PBPT16393 Credit Maintenance Pl'!C76+'CBPTINTK-3965 - KC Optimization'!C76+'CBPTINTK-2800 IDP CA Foundation'!C76)</f>
        <v>#REF!</v>
      </c>
      <c r="D60" s="104"/>
      <c r="E60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43'!E76+'ATM PH Release 37.5'!E76+'CBPTINT - 3291 CLP MVP 1 Renewa'!E76+#REF!+#REF!+'CBPTINTK-3069 Project Guardian'!E76+'CBPTINTK-3517 Property Insuranc'!E76+'CBPTINTK-4356 CB Enhancements A'!E76+'CBPTINTK-3796 CLD &amp; Repricing L'!E76+'CBPTINTK-23365 LCMS Funding Con'!E76+'PBBT-13832 DM Relationship 4,5,'!E76+'PBBT-23572 RESL POD Shift Left'!E76+'CBPTINTK-17774 Annual Mortgage '!E76+'Securitization November 2025 Re'!E76+'CBPTINTK-2616 Renewal Due Dilig'!E76+'CBPTINTK-23406 Upgrade DDGS Sma'!E76+'CBPTINTK-4105 Client at Risk CR'!E76+'CBPTINTK-4313 Reverse Franchisi'!E76+'PBBT-22623 Eliminate IMDS Depen'!E76+'PBBT-22425 Excalibur LFA_PBBT-2'!E76+'PBBT-23552 Excalibur to RCDW Mo'!E76+'PBPT16393 Credit Maintenance Pl'!E76+'CBPTINTK-3965 - KC Optimization'!E76+'CBPTINTK-2800 IDP CA Foundation'!E76)</f>
        <v>#REF!</v>
      </c>
      <c r="F60" s="104"/>
      <c r="G60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43'!G76+'ATM PH Release 37.5'!G76+'CBPTINT - 3291 CLP MVP 1 Renewa'!G76+#REF!+#REF!+'CBPTINTK-3069 Project Guardian'!G76+'CBPTINTK-3517 Property Insuranc'!G76+'CBPTINTK-4356 CB Enhancements A'!G76+'CBPTINTK-3796 CLD &amp; Repricing L'!G76+'CBPTINTK-23365 LCMS Funding Con'!G76+'PBBT-13832 DM Relationship 4,5,'!G76+'PBBT-23572 RESL POD Shift Left'!G76+'CBPTINTK-17774 Annual Mortgage '!G76+'Securitization November 2025 Re'!G76+'CBPTINTK-2616 Renewal Due Dilig'!G76+'CBPTINTK-23406 Upgrade DDGS Sma'!G76+'CBPTINTK-4105 Client at Risk CR'!G76+'CBPTINTK-4313 Reverse Franchisi'!G76+'PBBT-22623 Eliminate IMDS Depen'!G76+'PBBT-22425 Excalibur LFA_PBBT-2'!G76+'PBBT-23552 Excalibur to RCDW Mo'!G76+'PBPT16393 Credit Maintenance Pl'!G76+'CBPTINTK-3965 - KC Optimization'!G76+'CBPTINTK-2800 IDP CA Foundation'!G76)</f>
        <v>#REF!</v>
      </c>
      <c r="H60" s="104"/>
      <c r="I60" s="52"/>
      <c r="J60" s="52"/>
      <c r="K60" s="52"/>
      <c r="L60" s="52"/>
      <c r="M60" s="52"/>
      <c r="N60" s="52"/>
      <c r="O60" s="53"/>
    </row>
    <row r="61" spans="1:15">
      <c r="A61" s="106" t="s">
        <v>119</v>
      </c>
      <c r="B61" s="106"/>
      <c r="C61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43'!C77+'ATM PH Release 37.5'!C77+'CBPTINT - 3291 CLP MVP 1 Renewa'!C77+#REF!+#REF!+'CBPTINTK-3069 Project Guardian'!C77+'CBPTINTK-3517 Property Insuranc'!C77+'CBPTINTK-4356 CB Enhancements A'!C77+'CBPTINTK-3796 CLD &amp; Repricing L'!C77+'CBPTINTK-23365 LCMS Funding Con'!C77+'PBBT-13832 DM Relationship 4,5,'!C77+'PBBT-23572 RESL POD Shift Left'!C77+'CBPTINTK-17774 Annual Mortgage '!C77+'Securitization November 2025 Re'!C77+'CBPTINTK-2616 Renewal Due Dilig'!C77+'CBPTINTK-23406 Upgrade DDGS Sma'!C77+'CBPTINTK-4105 Client at Risk CR'!C77+'CBPTINTK-4313 Reverse Franchisi'!C77+'PBBT-22623 Eliminate IMDS Depen'!C77+'PBBT-22425 Excalibur LFA_PBBT-2'!C77+'PBBT-23552 Excalibur to RCDW Mo'!C77+'PBPT16393 Credit Maintenance Pl'!C77+'CBPTINTK-3965 - KC Optimization'!C77+'CBPTINTK-2800 IDP CA Foundation'!C77)</f>
        <v>#REF!</v>
      </c>
      <c r="D61" s="104"/>
      <c r="E61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43'!E77+'ATM PH Release 37.5'!E77+'CBPTINT - 3291 CLP MVP 1 Renewa'!E77+#REF!+#REF!+'CBPTINTK-3069 Project Guardian'!E77+'CBPTINTK-3517 Property Insuranc'!E77+'CBPTINTK-4356 CB Enhancements A'!E77+'CBPTINTK-3796 CLD &amp; Repricing L'!E77+'CBPTINTK-23365 LCMS Funding Con'!E77+'PBBT-13832 DM Relationship 4,5,'!E77+'PBBT-23572 RESL POD Shift Left'!E77+'CBPTINTK-17774 Annual Mortgage '!E77+'Securitization November 2025 Re'!E77+'CBPTINTK-2616 Renewal Due Dilig'!E77+'CBPTINTK-23406 Upgrade DDGS Sma'!E77+'CBPTINTK-4105 Client at Risk CR'!E77+'CBPTINTK-4313 Reverse Franchisi'!E77+'PBBT-22623 Eliminate IMDS Depen'!E77+'PBBT-22425 Excalibur LFA_PBBT-2'!E77+'PBBT-23552 Excalibur to RCDW Mo'!E77+'PBPT16393 Credit Maintenance Pl'!E77+'CBPTINTK-3965 - KC Optimization'!E77+'CBPTINTK-2800 IDP CA Foundation'!E77)</f>
        <v>#REF!</v>
      </c>
      <c r="F61" s="104"/>
      <c r="G61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43'!G77+'ATM PH Release 37.5'!G77+'CBPTINT - 3291 CLP MVP 1 Renewa'!G77+#REF!+#REF!+'CBPTINTK-3069 Project Guardian'!G77+'CBPTINTK-3517 Property Insuranc'!G77+'CBPTINTK-4356 CB Enhancements A'!G77+'CBPTINTK-3796 CLD &amp; Repricing L'!G77+'CBPTINTK-23365 LCMS Funding Con'!G77+'PBBT-13832 DM Relationship 4,5,'!G77+'PBBT-23572 RESL POD Shift Left'!G77+'CBPTINTK-17774 Annual Mortgage '!G77+'Securitization November 2025 Re'!G77+'CBPTINTK-2616 Renewal Due Dilig'!G77+'CBPTINTK-23406 Upgrade DDGS Sma'!G77+'CBPTINTK-4105 Client at Risk CR'!G77+'CBPTINTK-4313 Reverse Franchisi'!G77+'PBBT-22623 Eliminate IMDS Depen'!G77+'PBBT-22425 Excalibur LFA_PBBT-2'!G77+'PBBT-23552 Excalibur to RCDW Mo'!G77+'PBPT16393 Credit Maintenance Pl'!G77+'CBPTINTK-3965 - KC Optimization'!G77+'CBPTINTK-2800 IDP CA Foundation'!G77)</f>
        <v>#REF!</v>
      </c>
      <c r="H61" s="104"/>
      <c r="I61" s="52"/>
      <c r="J61" s="52"/>
      <c r="K61" s="52"/>
      <c r="L61" s="52"/>
      <c r="M61" s="52"/>
      <c r="N61" s="52"/>
      <c r="O61" s="53"/>
    </row>
    <row r="62" spans="1:15" ht="16.5" customHeight="1">
      <c r="A62" s="106" t="s">
        <v>120</v>
      </c>
      <c r="B62" s="106"/>
      <c r="C62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43'!C78+'ATM PH Release 37.5'!C78+'CBPTINT - 3291 CLP MVP 1 Renewa'!C78+#REF!+#REF!+'CBPTINTK-3069 Project Guardian'!C78+'CBPTINTK-3517 Property Insuranc'!C78+'CBPTINTK-4356 CB Enhancements A'!C78+'CBPTINTK-3796 CLD &amp; Repricing L'!C78+'CBPTINTK-23365 LCMS Funding Con'!C78+'PBBT-13832 DM Relationship 4,5,'!C78+'PBBT-23572 RESL POD Shift Left'!C78+'CBPTINTK-17774 Annual Mortgage '!C78+'Securitization November 2025 Re'!C78+'CBPTINTK-2616 Renewal Due Dilig'!C78+'CBPTINTK-23406 Upgrade DDGS Sma'!C78+'CBPTINTK-4105 Client at Risk CR'!C78+'CBPTINTK-4313 Reverse Franchisi'!C78+'PBBT-22623 Eliminate IMDS Depen'!C78+'PBBT-22425 Excalibur LFA_PBBT-2'!C78+'PBBT-23552 Excalibur to RCDW Mo'!C78+'PBPT16393 Credit Maintenance Pl'!C78+'CBPTINTK-3965 - KC Optimization'!C78+'CBPTINTK-2800 IDP CA Foundation'!C78)</f>
        <v>#REF!</v>
      </c>
      <c r="D62" s="104"/>
      <c r="E62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43'!E78+'ATM PH Release 37.5'!E78+'CBPTINT - 3291 CLP MVP 1 Renewa'!E78+#REF!+#REF!+'CBPTINTK-3069 Project Guardian'!E78+'CBPTINTK-3517 Property Insuranc'!E78+'CBPTINTK-4356 CB Enhancements A'!E78+'CBPTINTK-3796 CLD &amp; Repricing L'!E78+'CBPTINTK-23365 LCMS Funding Con'!E78+'PBBT-13832 DM Relationship 4,5,'!E78+'PBBT-23572 RESL POD Shift Left'!E78+'CBPTINTK-17774 Annual Mortgage '!E78+'Securitization November 2025 Re'!E78+'CBPTINTK-2616 Renewal Due Dilig'!E78+'CBPTINTK-23406 Upgrade DDGS Sma'!E78+'CBPTINTK-4105 Client at Risk CR'!E78+'CBPTINTK-4313 Reverse Franchisi'!E78+'PBBT-22623 Eliminate IMDS Depen'!E78+'PBBT-22425 Excalibur LFA_PBBT-2'!E78+'PBBT-23552 Excalibur to RCDW Mo'!E78+'PBPT16393 Credit Maintenance Pl'!E78+'CBPTINTK-3965 - KC Optimization'!E78+'CBPTINTK-2800 IDP CA Foundation'!E78)</f>
        <v>#REF!</v>
      </c>
      <c r="F62" s="104"/>
      <c r="G62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43'!G78+'ATM PH Release 37.5'!G78+'CBPTINT - 3291 CLP MVP 1 Renewa'!G78+#REF!+#REF!+'CBPTINTK-3069 Project Guardian'!G78+'CBPTINTK-3517 Property Insuranc'!G78+'CBPTINTK-4356 CB Enhancements A'!G78+'CBPTINTK-3796 CLD &amp; Repricing L'!G78+'CBPTINTK-23365 LCMS Funding Con'!G78+'PBBT-13832 DM Relationship 4,5,'!G78+'PBBT-23572 RESL POD Shift Left'!G78+'CBPTINTK-17774 Annual Mortgage '!G78+'Securitization November 2025 Re'!G78+'CBPTINTK-2616 Renewal Due Dilig'!G78+'CBPTINTK-23406 Upgrade DDGS Sma'!G78+'CBPTINTK-4105 Client at Risk CR'!G78+'CBPTINTK-4313 Reverse Franchisi'!G78+'PBBT-22623 Eliminate IMDS Depen'!G78+'PBBT-22425 Excalibur LFA_PBBT-2'!G78+'PBBT-23552 Excalibur to RCDW Mo'!G78+'PBPT16393 Credit Maintenance Pl'!G78+'CBPTINTK-3965 - KC Optimization'!G78+'CBPTINTK-2800 IDP CA Foundation'!G78)</f>
        <v>#REF!</v>
      </c>
      <c r="H62" s="104"/>
      <c r="I62" s="52"/>
      <c r="J62" s="52"/>
      <c r="K62" s="52"/>
      <c r="L62" s="52"/>
      <c r="M62" s="52"/>
      <c r="N62" s="52"/>
      <c r="O62" s="53"/>
    </row>
    <row r="63" spans="1:15">
      <c r="A63" s="106" t="s">
        <v>121</v>
      </c>
      <c r="B63" s="106"/>
      <c r="C63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43'!C79+'ATM PH Release 37.5'!C79+'CBPTINT - 3291 CLP MVP 1 Renewa'!C79+#REF!+#REF!+'CBPTINTK-3069 Project Guardian'!C79+'CBPTINTK-3517 Property Insuranc'!C79+'CBPTINTK-4356 CB Enhancements A'!C79+'CBPTINTK-3796 CLD &amp; Repricing L'!C79+'CBPTINTK-23365 LCMS Funding Con'!C79+'PBBT-13832 DM Relationship 4,5,'!C79+'PBBT-23572 RESL POD Shift Left'!C79+'CBPTINTK-17774 Annual Mortgage '!C79+'Securitization November 2025 Re'!C79+'CBPTINTK-2616 Renewal Due Dilig'!C79+'CBPTINTK-23406 Upgrade DDGS Sma'!C79+'CBPTINTK-4105 Client at Risk CR'!C79+'CBPTINTK-4313 Reverse Franchisi'!C79+'PBBT-22623 Eliminate IMDS Depen'!C79+'PBBT-22425 Excalibur LFA_PBBT-2'!C79+'PBBT-23552 Excalibur to RCDW Mo'!C79+'PBPT16393 Credit Maintenance Pl'!C79+'CBPTINTK-3965 - KC Optimization'!C79+'CBPTINTK-2800 IDP CA Foundation'!C79)</f>
        <v>#REF!</v>
      </c>
      <c r="D63" s="104"/>
      <c r="E63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43'!E79+'ATM PH Release 37.5'!E79+'CBPTINT - 3291 CLP MVP 1 Renewa'!E79+#REF!+#REF!+'CBPTINTK-3069 Project Guardian'!E79+'CBPTINTK-3517 Property Insuranc'!E79+'CBPTINTK-4356 CB Enhancements A'!E79+'CBPTINTK-3796 CLD &amp; Repricing L'!E79+'CBPTINTK-23365 LCMS Funding Con'!E79+'PBBT-13832 DM Relationship 4,5,'!E79+'PBBT-23572 RESL POD Shift Left'!E79+'CBPTINTK-17774 Annual Mortgage '!E79+'Securitization November 2025 Re'!E79+'CBPTINTK-2616 Renewal Due Dilig'!E79+'CBPTINTK-23406 Upgrade DDGS Sma'!E79+'CBPTINTK-4105 Client at Risk CR'!E79+'CBPTINTK-4313 Reverse Franchisi'!E79+'PBBT-22623 Eliminate IMDS Depen'!E79+'PBBT-22425 Excalibur LFA_PBBT-2'!E79+'PBBT-23552 Excalibur to RCDW Mo'!E79+'PBPT16393 Credit Maintenance Pl'!E79+'CBPTINTK-3965 - KC Optimization'!E79+'CBPTINTK-2800 IDP CA Foundation'!E79)</f>
        <v>#REF!</v>
      </c>
      <c r="F63" s="104"/>
      <c r="G63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43'!G79+'ATM PH Release 37.5'!G79+'CBPTINT - 3291 CLP MVP 1 Renewa'!G79+#REF!+#REF!+'CBPTINTK-3069 Project Guardian'!G79+'CBPTINTK-3517 Property Insuranc'!G79+'CBPTINTK-4356 CB Enhancements A'!G79+'CBPTINTK-3796 CLD &amp; Repricing L'!G79+'CBPTINTK-23365 LCMS Funding Con'!G79+'PBBT-13832 DM Relationship 4,5,'!G79+'PBBT-23572 RESL POD Shift Left'!G79+'CBPTINTK-17774 Annual Mortgage '!G79+'Securitization November 2025 Re'!G79+'CBPTINTK-2616 Renewal Due Dilig'!G79+'CBPTINTK-23406 Upgrade DDGS Sma'!G79+'CBPTINTK-4105 Client at Risk CR'!G79+'CBPTINTK-4313 Reverse Franchisi'!G79+'PBBT-22623 Eliminate IMDS Depen'!G79+'PBBT-22425 Excalibur LFA_PBBT-2'!G79+'PBBT-23552 Excalibur to RCDW Mo'!G79+'PBPT16393 Credit Maintenance Pl'!G79+'CBPTINTK-3965 - KC Optimization'!G79+'CBPTINTK-2800 IDP CA Foundation'!G79)</f>
        <v>#REF!</v>
      </c>
      <c r="H63" s="104"/>
      <c r="I63" s="52"/>
      <c r="J63" s="52"/>
      <c r="K63" s="52"/>
      <c r="L63" s="52"/>
      <c r="M63" s="52"/>
      <c r="N63" s="52"/>
      <c r="O63" s="53"/>
    </row>
    <row r="64" spans="1:15">
      <c r="A64" s="106" t="s">
        <v>122</v>
      </c>
      <c r="B64" s="106"/>
      <c r="C64" s="15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43'!C80+'ATM PH Release 37.5'!C80+'CBPTINT - 3291 CLP MVP 1 Renewa'!C80+#REF!+#REF!+'CBPTINTK-3069 Project Guardian'!C80+'CBPTINTK-3517 Property Insuranc'!C80+'CBPTINTK-4356 CB Enhancements A'!C80+'CBPTINTK-3796 CLD &amp; Repricing L'!C80+'CBPTINTK-23365 LCMS Funding Con'!C80+'PBBT-13832 DM Relationship 4,5,'!C80+'PBBT-23572 RESL POD Shift Left'!C80+'CBPTINTK-17774 Annual Mortgage '!C80+'Securitization November 2025 Re'!C80+'CBPTINTK-2616 Renewal Due Dilig'!C80+'CBPTINTK-23406 Upgrade DDGS Sma'!C80+'CBPTINTK-4105 Client at Risk CR'!C80+'CBPTINTK-4313 Reverse Franchisi'!C80+'PBBT-22623 Eliminate IMDS Depen'!C80+'PBBT-22425 Excalibur LFA_PBBT-2'!C80+'PBBT-23552 Excalibur to RCDW Mo'!C80+'PBPT16393 Credit Maintenance Pl'!C80+'CBPTINTK-3965 - KC Optimization'!C80+'CBPTINTK-2800 IDP CA Foundation'!C80)</f>
        <v>#REF!</v>
      </c>
      <c r="D64" s="151"/>
      <c r="E64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43'!E80+'ATM PH Release 37.5'!E80+'CBPTINT - 3291 CLP MVP 1 Renewa'!E80+#REF!+#REF!+'CBPTINTK-3069 Project Guardian'!E80+'CBPTINTK-3517 Property Insuranc'!E80+'CBPTINTK-4356 CB Enhancements A'!E80+'CBPTINTK-3796 CLD &amp; Repricing L'!E80+'CBPTINTK-23365 LCMS Funding Con'!E80+'PBBT-13832 DM Relationship 4,5,'!E80+'PBBT-23572 RESL POD Shift Left'!E80+'CBPTINTK-17774 Annual Mortgage '!E80+'Securitization November 2025 Re'!E80+'CBPTINTK-2616 Renewal Due Dilig'!E80+'CBPTINTK-23406 Upgrade DDGS Sma'!E80+'CBPTINTK-4105 Client at Risk CR'!E80+'CBPTINTK-4313 Reverse Franchisi'!E80+'PBBT-22623 Eliminate IMDS Depen'!E80+'PBBT-22425 Excalibur LFA_PBBT-2'!E80+'PBBT-23552 Excalibur to RCDW Mo'!E80+'PBPT16393 Credit Maintenance Pl'!E80+'CBPTINTK-3965 - KC Optimization'!E80+'CBPTINTK-2800 IDP CA Foundation'!E80)</f>
        <v>#REF!</v>
      </c>
      <c r="F64" s="104"/>
      <c r="G64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43'!G80+'ATM PH Release 37.5'!G80+'CBPTINT - 3291 CLP MVP 1 Renewa'!G80+#REF!+#REF!+'CBPTINTK-3069 Project Guardian'!G80+'CBPTINTK-3517 Property Insuranc'!G80+'CBPTINTK-4356 CB Enhancements A'!G80+'CBPTINTK-3796 CLD &amp; Repricing L'!G80+'CBPTINTK-23365 LCMS Funding Con'!G80+'PBBT-13832 DM Relationship 4,5,'!G80+'PBBT-23572 RESL POD Shift Left'!G80+'CBPTINTK-17774 Annual Mortgage '!G80+'Securitization November 2025 Re'!G80+'CBPTINTK-2616 Renewal Due Dilig'!G80+'CBPTINTK-23406 Upgrade DDGS Sma'!G80+'CBPTINTK-4105 Client at Risk CR'!G80+'CBPTINTK-4313 Reverse Franchisi'!G80+'PBBT-22623 Eliminate IMDS Depen'!G80+'PBBT-22425 Excalibur LFA_PBBT-2'!G80+'PBBT-23552 Excalibur to RCDW Mo'!G80+'PBPT16393 Credit Maintenance Pl'!G80+'CBPTINTK-3965 - KC Optimization'!G80+'CBPTINTK-2800 IDP CA Foundation'!G80)</f>
        <v>#REF!</v>
      </c>
      <c r="H64" s="104"/>
      <c r="I64" s="52"/>
      <c r="J64" s="52"/>
      <c r="K64" s="52"/>
      <c r="L64" s="52"/>
      <c r="M64" s="52"/>
      <c r="N64" s="52"/>
      <c r="O64" s="53"/>
    </row>
    <row r="65" spans="1:16">
      <c r="A65" s="106" t="s">
        <v>123</v>
      </c>
      <c r="B65" s="106"/>
      <c r="C65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43'!C81+'ATM PH Release 37.5'!C81+'CBPTINT - 3291 CLP MVP 1 Renewa'!C81+#REF!+#REF!+'CBPTINTK-3069 Project Guardian'!C81+'CBPTINTK-3517 Property Insuranc'!C81+'CBPTINTK-4356 CB Enhancements A'!C81+'CBPTINTK-3796 CLD &amp; Repricing L'!C81+'CBPTINTK-23365 LCMS Funding Con'!C81+'PBBT-13832 DM Relationship 4,5,'!C81+'PBBT-23572 RESL POD Shift Left'!C81+'CBPTINTK-17774 Annual Mortgage '!C81+'Securitization November 2025 Re'!C81+'CBPTINTK-2616 Renewal Due Dilig'!C81+'CBPTINTK-23406 Upgrade DDGS Sma'!C81+'CBPTINTK-4105 Client at Risk CR'!C81+'CBPTINTK-4313 Reverse Franchisi'!C81+'PBBT-22623 Eliminate IMDS Depen'!C81+'PBBT-22425 Excalibur LFA_PBBT-2'!C81+'PBBT-23552 Excalibur to RCDW Mo'!C81+'PBPT16393 Credit Maintenance Pl'!C81+'CBPTINTK-3965 - KC Optimization'!C81+'CBPTINTK-2800 IDP CA Foundation'!C81)</f>
        <v>#REF!</v>
      </c>
      <c r="D65" s="104"/>
      <c r="E65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43'!E81+'ATM PH Release 37.5'!E81+'CBPTINT - 3291 CLP MVP 1 Renewa'!E81+#REF!+#REF!+'CBPTINTK-3069 Project Guardian'!E81+'CBPTINTK-3517 Property Insuranc'!E81+'CBPTINTK-4356 CB Enhancements A'!E81+'CBPTINTK-3796 CLD &amp; Repricing L'!E81+'CBPTINTK-23365 LCMS Funding Con'!E81+'PBBT-13832 DM Relationship 4,5,'!E81+'PBBT-23572 RESL POD Shift Left'!E81+'CBPTINTK-17774 Annual Mortgage '!E81+'Securitization November 2025 Re'!E81+'CBPTINTK-2616 Renewal Due Dilig'!E81+'CBPTINTK-23406 Upgrade DDGS Sma'!E81+'CBPTINTK-4105 Client at Risk CR'!E81+'CBPTINTK-4313 Reverse Franchisi'!E81+'PBBT-22623 Eliminate IMDS Depen'!E81+'PBBT-22425 Excalibur LFA_PBBT-2'!E81+'PBBT-23552 Excalibur to RCDW Mo'!E81+'PBPT16393 Credit Maintenance Pl'!E81+'CBPTINTK-3965 - KC Optimization'!E81+'CBPTINTK-2800 IDP CA Foundation'!E81)</f>
        <v>#REF!</v>
      </c>
      <c r="F65" s="104"/>
      <c r="G65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43'!G81+'ATM PH Release 37.5'!G81+'CBPTINT - 3291 CLP MVP 1 Renewa'!G81+#REF!+#REF!+'CBPTINTK-3069 Project Guardian'!G81+'CBPTINTK-3517 Property Insuranc'!G81+'CBPTINTK-4356 CB Enhancements A'!G81+'CBPTINTK-3796 CLD &amp; Repricing L'!G81+'CBPTINTK-23365 LCMS Funding Con'!G81+'PBBT-13832 DM Relationship 4,5,'!G81+'PBBT-23572 RESL POD Shift Left'!G81+'CBPTINTK-17774 Annual Mortgage '!G81+'Securitization November 2025 Re'!G81+'CBPTINTK-2616 Renewal Due Dilig'!G81+'CBPTINTK-23406 Upgrade DDGS Sma'!G81+'CBPTINTK-4105 Client at Risk CR'!G81+'CBPTINTK-4313 Reverse Franchisi'!G81+'PBBT-22623 Eliminate IMDS Depen'!G81+'PBBT-22425 Excalibur LFA_PBBT-2'!G81+'PBBT-23552 Excalibur to RCDW Mo'!G81+'PBPT16393 Credit Maintenance Pl'!G81+'CBPTINTK-3965 - KC Optimization'!G81+'CBPTINTK-2800 IDP CA Foundation'!G81)</f>
        <v>#REF!</v>
      </c>
      <c r="H65" s="104"/>
      <c r="I65" s="52"/>
      <c r="J65" s="52"/>
      <c r="K65" s="52"/>
      <c r="L65" s="52"/>
      <c r="M65" s="52"/>
      <c r="N65" s="52"/>
      <c r="O65" s="53"/>
      <c r="P65" s="51"/>
    </row>
    <row r="66" spans="1:16">
      <c r="A66" s="106" t="s">
        <v>124</v>
      </c>
      <c r="B66" s="106"/>
      <c r="C66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43'!C82+'ATM PH Release 37.5'!C82+'CBPTINT - 3291 CLP MVP 1 Renewa'!C82+#REF!+#REF!+'CBPTINTK-3069 Project Guardian'!C82+'CBPTINTK-3517 Property Insuranc'!C82+'CBPTINTK-4356 CB Enhancements A'!C82+'CBPTINTK-3796 CLD &amp; Repricing L'!C82+'CBPTINTK-23365 LCMS Funding Con'!C82+'PBBT-13832 DM Relationship 4,5,'!C82+'PBBT-23572 RESL POD Shift Left'!C82+'CBPTINTK-17774 Annual Mortgage '!C82+'Securitization November 2025 Re'!C82+'CBPTINTK-2616 Renewal Due Dilig'!C82+'CBPTINTK-23406 Upgrade DDGS Sma'!C82+'CBPTINTK-4105 Client at Risk CR'!C82+'CBPTINTK-4313 Reverse Franchisi'!C82+'PBBT-22623 Eliminate IMDS Depen'!C82+'PBBT-22425 Excalibur LFA_PBBT-2'!C82+'PBBT-23552 Excalibur to RCDW Mo'!C82+'PBPT16393 Credit Maintenance Pl'!C82+'CBPTINTK-3965 - KC Optimization'!C82+'CBPTINTK-2800 IDP CA Foundation'!C82)</f>
        <v>#REF!</v>
      </c>
      <c r="D66" s="104"/>
      <c r="E66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43'!E82+'ATM PH Release 37.5'!E82+'CBPTINT - 3291 CLP MVP 1 Renewa'!E82+#REF!+#REF!+'CBPTINTK-3069 Project Guardian'!E82+'CBPTINTK-3517 Property Insuranc'!E82+'CBPTINTK-4356 CB Enhancements A'!E82+'CBPTINTK-3796 CLD &amp; Repricing L'!E82+'CBPTINTK-23365 LCMS Funding Con'!E82+'PBBT-13832 DM Relationship 4,5,'!E82+'PBBT-23572 RESL POD Shift Left'!E82+'CBPTINTK-17774 Annual Mortgage '!E82+'Securitization November 2025 Re'!E82+'CBPTINTK-2616 Renewal Due Dilig'!E82+'CBPTINTK-23406 Upgrade DDGS Sma'!E82+'CBPTINTK-4105 Client at Risk CR'!E82+'CBPTINTK-4313 Reverse Franchisi'!E82+'PBBT-22623 Eliminate IMDS Depen'!E82+'PBBT-22425 Excalibur LFA_PBBT-2'!E82+'PBBT-23552 Excalibur to RCDW Mo'!E82+'PBPT16393 Credit Maintenance Pl'!E82+'CBPTINTK-3965 - KC Optimization'!E82+'CBPTINTK-2800 IDP CA Foundation'!E82)</f>
        <v>#REF!</v>
      </c>
      <c r="F66" s="104"/>
      <c r="G66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43'!G82+'ATM PH Release 37.5'!G82+'CBPTINT - 3291 CLP MVP 1 Renewa'!G82+#REF!+#REF!+'CBPTINTK-3069 Project Guardian'!G82+'CBPTINTK-3517 Property Insuranc'!G82+'CBPTINTK-4356 CB Enhancements A'!G82+'CBPTINTK-3796 CLD &amp; Repricing L'!G82+'CBPTINTK-23365 LCMS Funding Con'!G82+'PBBT-13832 DM Relationship 4,5,'!G82+'PBBT-23572 RESL POD Shift Left'!G82+'CBPTINTK-17774 Annual Mortgage '!G82+'Securitization November 2025 Re'!G82+'CBPTINTK-2616 Renewal Due Dilig'!G82+'CBPTINTK-23406 Upgrade DDGS Sma'!G82+'CBPTINTK-4105 Client at Risk CR'!G82+'CBPTINTK-4313 Reverse Franchisi'!G82+'PBBT-22623 Eliminate IMDS Depen'!G82+'PBBT-22425 Excalibur LFA_PBBT-2'!G82+'PBBT-23552 Excalibur to RCDW Mo'!G82+'PBPT16393 Credit Maintenance Pl'!G82+'CBPTINTK-3965 - KC Optimization'!G82+'CBPTINTK-2800 IDP CA Foundation'!G82)</f>
        <v>#REF!</v>
      </c>
      <c r="H66" s="104"/>
      <c r="I66" s="52"/>
      <c r="J66" s="52"/>
      <c r="K66" s="52"/>
      <c r="L66" s="52"/>
      <c r="M66" s="52"/>
      <c r="N66" s="52"/>
      <c r="O66" s="53"/>
      <c r="P66" s="51"/>
    </row>
    <row r="67" spans="1:16">
      <c r="A67" s="106" t="s">
        <v>125</v>
      </c>
      <c r="B67" s="106"/>
      <c r="C67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43'!C83+'ATM PH Release 37.5'!C83+'CBPTINT - 3291 CLP MVP 1 Renewa'!C83+#REF!+#REF!+'CBPTINTK-3069 Project Guardian'!C83+'CBPTINTK-3517 Property Insuranc'!C83+'CBPTINTK-4356 CB Enhancements A'!C83+'CBPTINTK-3796 CLD &amp; Repricing L'!C83+'CBPTINTK-23365 LCMS Funding Con'!C83+'PBBT-13832 DM Relationship 4,5,'!C83+'PBBT-23572 RESL POD Shift Left'!C83+'CBPTINTK-17774 Annual Mortgage '!C83+'Securitization November 2025 Re'!C83+'CBPTINTK-2616 Renewal Due Dilig'!C83+'CBPTINTK-23406 Upgrade DDGS Sma'!C83+'CBPTINTK-4105 Client at Risk CR'!C83+'CBPTINTK-4313 Reverse Franchisi'!C83+'PBBT-22623 Eliminate IMDS Depen'!C83+'PBBT-22425 Excalibur LFA_PBBT-2'!C83+'PBBT-23552 Excalibur to RCDW Mo'!C83+'PBPT16393 Credit Maintenance Pl'!C83+'CBPTINTK-3965 - KC Optimization'!C83+'CBPTINTK-2800 IDP CA Foundation'!C83)</f>
        <v>#REF!</v>
      </c>
      <c r="D67" s="104"/>
      <c r="E67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43'!E83+'ATM PH Release 37.5'!E83+'CBPTINT - 3291 CLP MVP 1 Renewa'!E83+#REF!+#REF!+'CBPTINTK-3069 Project Guardian'!E83+'CBPTINTK-3517 Property Insuranc'!E83+'CBPTINTK-4356 CB Enhancements A'!E83+'CBPTINTK-3796 CLD &amp; Repricing L'!E83+'CBPTINTK-23365 LCMS Funding Con'!E83+'PBBT-13832 DM Relationship 4,5,'!E83+'PBBT-23572 RESL POD Shift Left'!E83+'CBPTINTK-17774 Annual Mortgage '!E83+'Securitization November 2025 Re'!E83+'CBPTINTK-2616 Renewal Due Dilig'!E83+'CBPTINTK-23406 Upgrade DDGS Sma'!E83+'CBPTINTK-4105 Client at Risk CR'!E83+'CBPTINTK-4313 Reverse Franchisi'!E83+'PBBT-22623 Eliminate IMDS Depen'!E83+'PBBT-22425 Excalibur LFA_PBBT-2'!E83+'PBBT-23552 Excalibur to RCDW Mo'!E83+'PBPT16393 Credit Maintenance Pl'!E83+'CBPTINTK-3965 - KC Optimization'!E83+'CBPTINTK-2800 IDP CA Foundation'!E83)</f>
        <v>#REF!</v>
      </c>
      <c r="F67" s="104"/>
      <c r="G67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43'!G83+'ATM PH Release 37.5'!G83+'CBPTINT - 3291 CLP MVP 1 Renewa'!G83+#REF!+#REF!+'CBPTINTK-3069 Project Guardian'!G83+'CBPTINTK-3517 Property Insuranc'!G83+'CBPTINTK-4356 CB Enhancements A'!G83+'CBPTINTK-3796 CLD &amp; Repricing L'!G83+'CBPTINTK-23365 LCMS Funding Con'!G83+'PBBT-13832 DM Relationship 4,5,'!G83+'PBBT-23572 RESL POD Shift Left'!G83+'CBPTINTK-17774 Annual Mortgage '!G83+'Securitization November 2025 Re'!G83+'CBPTINTK-2616 Renewal Due Dilig'!G83+'CBPTINTK-23406 Upgrade DDGS Sma'!G83+'CBPTINTK-4105 Client at Risk CR'!G83+'CBPTINTK-4313 Reverse Franchisi'!G83+'PBBT-22623 Eliminate IMDS Depen'!G83+'PBBT-22425 Excalibur LFA_PBBT-2'!G83+'PBBT-23552 Excalibur to RCDW Mo'!G83+'PBPT16393 Credit Maintenance Pl'!G83+'CBPTINTK-3965 - KC Optimization'!G83+'CBPTINTK-2800 IDP CA Foundation'!G83)</f>
        <v>#REF!</v>
      </c>
      <c r="H67" s="104"/>
      <c r="I67" s="52"/>
      <c r="J67" s="52"/>
      <c r="K67" s="52"/>
      <c r="L67" s="52"/>
      <c r="M67" s="52"/>
      <c r="N67" s="52"/>
      <c r="O67" s="53"/>
      <c r="P67" s="51"/>
    </row>
    <row r="68" spans="1:16">
      <c r="A68" s="106" t="s">
        <v>126</v>
      </c>
      <c r="B68" s="106"/>
      <c r="C68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43'!C84+'ATM PH Release 37.5'!C84+'CBPTINT - 3291 CLP MVP 1 Renewa'!C84+#REF!+#REF!+'CBPTINTK-3069 Project Guardian'!C84+'CBPTINTK-3517 Property Insuranc'!C84+'CBPTINTK-4356 CB Enhancements A'!C84+'CBPTINTK-3796 CLD &amp; Repricing L'!C84+'CBPTINTK-23365 LCMS Funding Con'!C84+'PBBT-13832 DM Relationship 4,5,'!C84+'PBBT-23572 RESL POD Shift Left'!C84+'CBPTINTK-17774 Annual Mortgage '!C84+'Securitization November 2025 Re'!C84+'CBPTINTK-2616 Renewal Due Dilig'!C84+'CBPTINTK-23406 Upgrade DDGS Sma'!C84+'CBPTINTK-4105 Client at Risk CR'!C84+'CBPTINTK-4313 Reverse Franchisi'!C84+'PBBT-22623 Eliminate IMDS Depen'!C84+'PBBT-22425 Excalibur LFA_PBBT-2'!C84+'PBBT-23552 Excalibur to RCDW Mo'!C84+'PBPT16393 Credit Maintenance Pl'!C84+'CBPTINTK-3965 - KC Optimization'!C84+'CBPTINTK-2800 IDP CA Foundation'!C84)</f>
        <v>#REF!</v>
      </c>
      <c r="D68" s="104"/>
      <c r="E68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43'!E84+'ATM PH Release 37.5'!E84+'CBPTINT - 3291 CLP MVP 1 Renewa'!E84+#REF!+#REF!+'CBPTINTK-3069 Project Guardian'!E84+'CBPTINTK-3517 Property Insuranc'!E84+'CBPTINTK-4356 CB Enhancements A'!E84+'CBPTINTK-3796 CLD &amp; Repricing L'!E84+'CBPTINTK-23365 LCMS Funding Con'!E84+'PBBT-13832 DM Relationship 4,5,'!E84+'PBBT-23572 RESL POD Shift Left'!E84+'CBPTINTK-17774 Annual Mortgage '!E84+'Securitization November 2025 Re'!E84+'CBPTINTK-2616 Renewal Due Dilig'!E84+'CBPTINTK-23406 Upgrade DDGS Sma'!E84+'CBPTINTK-4105 Client at Risk CR'!E84+'CBPTINTK-4313 Reverse Franchisi'!E84+'PBBT-22623 Eliminate IMDS Depen'!E84+'PBBT-22425 Excalibur LFA_PBBT-2'!E84+'PBBT-23552 Excalibur to RCDW Mo'!E84+'PBPT16393 Credit Maintenance Pl'!E84+'CBPTINTK-3965 - KC Optimization'!E84+'CBPTINTK-2800 IDP CA Foundation'!E84)</f>
        <v>#REF!</v>
      </c>
      <c r="F68" s="104"/>
      <c r="G68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43'!G84+'ATM PH Release 37.5'!G84+'CBPTINT - 3291 CLP MVP 1 Renewa'!G84+#REF!+#REF!+'CBPTINTK-3069 Project Guardian'!G84+'CBPTINTK-3517 Property Insuranc'!G84+'CBPTINTK-4356 CB Enhancements A'!G84+'CBPTINTK-3796 CLD &amp; Repricing L'!G84+'CBPTINTK-23365 LCMS Funding Con'!G84+'PBBT-13832 DM Relationship 4,5,'!G84+'PBBT-23572 RESL POD Shift Left'!G84+'CBPTINTK-17774 Annual Mortgage '!G84+'Securitization November 2025 Re'!G84+'CBPTINTK-2616 Renewal Due Dilig'!G84+'CBPTINTK-23406 Upgrade DDGS Sma'!G84+'CBPTINTK-4105 Client at Risk CR'!G84+'CBPTINTK-4313 Reverse Franchisi'!G84+'PBBT-22623 Eliminate IMDS Depen'!G84+'PBBT-22425 Excalibur LFA_PBBT-2'!G84+'PBBT-23552 Excalibur to RCDW Mo'!G84+'PBPT16393 Credit Maintenance Pl'!G84+'CBPTINTK-3965 - KC Optimization'!G84+'CBPTINTK-2800 IDP CA Foundation'!G84)</f>
        <v>#REF!</v>
      </c>
      <c r="H68" s="104"/>
      <c r="I68" s="52"/>
      <c r="J68" s="52"/>
      <c r="K68" s="52"/>
      <c r="L68" s="52"/>
      <c r="M68" s="52"/>
      <c r="N68" s="52"/>
      <c r="O68" s="53"/>
      <c r="P68" s="51"/>
    </row>
    <row r="69" spans="1:16">
      <c r="A69" s="106" t="s">
        <v>127</v>
      </c>
      <c r="B69" s="106"/>
      <c r="C69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43'!C85+'ATM PH Release 37.5'!C85+'CBPTINT - 3291 CLP MVP 1 Renewa'!C85+#REF!+#REF!+'CBPTINTK-3069 Project Guardian'!C85+'CBPTINTK-3517 Property Insuranc'!C85+'CBPTINTK-4356 CB Enhancements A'!C85+'CBPTINTK-3796 CLD &amp; Repricing L'!C85+'CBPTINTK-23365 LCMS Funding Con'!C85+'PBBT-13832 DM Relationship 4,5,'!C85+'PBBT-23572 RESL POD Shift Left'!C85+'CBPTINTK-17774 Annual Mortgage '!C85+'Securitization November 2025 Re'!C85+'CBPTINTK-2616 Renewal Due Dilig'!C85+'CBPTINTK-23406 Upgrade DDGS Sma'!C85+'CBPTINTK-4105 Client at Risk CR'!C85+'CBPTINTK-4313 Reverse Franchisi'!C85+'PBBT-22623 Eliminate IMDS Depen'!C85+'PBBT-22425 Excalibur LFA_PBBT-2'!C85+'PBBT-23552 Excalibur to RCDW Mo'!C85+'PBPT16393 Credit Maintenance Pl'!C85+'CBPTINTK-3965 - KC Optimization'!C85+'CBPTINTK-2800 IDP CA Foundation'!C85)</f>
        <v>#REF!</v>
      </c>
      <c r="D69" s="104"/>
      <c r="E69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43'!E85+'ATM PH Release 37.5'!E85+'CBPTINT - 3291 CLP MVP 1 Renewa'!E85+#REF!+#REF!+'CBPTINTK-3069 Project Guardian'!E85+'CBPTINTK-3517 Property Insuranc'!E85+'CBPTINTK-4356 CB Enhancements A'!E85+'CBPTINTK-3796 CLD &amp; Repricing L'!E85+'CBPTINTK-23365 LCMS Funding Con'!E85+'PBBT-13832 DM Relationship 4,5,'!E85+'PBBT-23572 RESL POD Shift Left'!E85+'CBPTINTK-17774 Annual Mortgage '!E85+'Securitization November 2025 Re'!E85+'CBPTINTK-2616 Renewal Due Dilig'!E85+'CBPTINTK-23406 Upgrade DDGS Sma'!E85+'CBPTINTK-4105 Client at Risk CR'!E85+'CBPTINTK-4313 Reverse Franchisi'!E85+'PBBT-22623 Eliminate IMDS Depen'!E85+'PBBT-22425 Excalibur LFA_PBBT-2'!E85+'PBBT-23552 Excalibur to RCDW Mo'!E85+'PBPT16393 Credit Maintenance Pl'!E85+'CBPTINTK-3965 - KC Optimization'!E85+'CBPTINTK-2800 IDP CA Foundation'!E85)</f>
        <v>#REF!</v>
      </c>
      <c r="F69" s="104"/>
      <c r="G69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43'!G85+'ATM PH Release 37.5'!G85+'CBPTINT - 3291 CLP MVP 1 Renewa'!G85+#REF!+#REF!+'CBPTINTK-3069 Project Guardian'!G85+'CBPTINTK-3517 Property Insuranc'!G85+'CBPTINTK-4356 CB Enhancements A'!G85+'CBPTINTK-3796 CLD &amp; Repricing L'!G85+'CBPTINTK-23365 LCMS Funding Con'!G85+'PBBT-13832 DM Relationship 4,5,'!G85+'PBBT-23572 RESL POD Shift Left'!G85+'CBPTINTK-17774 Annual Mortgage '!G85+'Securitization November 2025 Re'!G85+'CBPTINTK-2616 Renewal Due Dilig'!G85+'CBPTINTK-23406 Upgrade DDGS Sma'!G85+'CBPTINTK-4105 Client at Risk CR'!G85+'CBPTINTK-4313 Reverse Franchisi'!G85+'PBBT-22623 Eliminate IMDS Depen'!G85+'PBBT-22425 Excalibur LFA_PBBT-2'!G85+'PBBT-23552 Excalibur to RCDW Mo'!G85+'PBPT16393 Credit Maintenance Pl'!G85+'CBPTINTK-3965 - KC Optimization'!G85+'CBPTINTK-2800 IDP CA Foundation'!G85)</f>
        <v>#REF!</v>
      </c>
      <c r="H69" s="104"/>
      <c r="I69" s="52"/>
      <c r="J69" s="52"/>
      <c r="K69" s="52"/>
      <c r="L69" s="52"/>
      <c r="M69" s="52"/>
      <c r="N69" s="52"/>
      <c r="O69" s="53"/>
      <c r="P69" s="51"/>
    </row>
    <row r="70" spans="1:16">
      <c r="A70" s="106" t="s">
        <v>128</v>
      </c>
      <c r="B70" s="106"/>
      <c r="C70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43'!C86+'ATM PH Release 37.5'!C86+'CBPTINT - 3291 CLP MVP 1 Renewa'!C86+#REF!+#REF!+'CBPTINTK-3069 Project Guardian'!C86+'CBPTINTK-3517 Property Insuranc'!C86+'CBPTINTK-4356 CB Enhancements A'!C86+'CBPTINTK-3796 CLD &amp; Repricing L'!C86+'CBPTINTK-23365 LCMS Funding Con'!C86+'PBBT-13832 DM Relationship 4,5,'!C86+'PBBT-23572 RESL POD Shift Left'!C86+'CBPTINTK-17774 Annual Mortgage '!C86+'Securitization November 2025 Re'!C86+'CBPTINTK-2616 Renewal Due Dilig'!C86+'CBPTINTK-23406 Upgrade DDGS Sma'!C86+'CBPTINTK-4105 Client at Risk CR'!C86+'CBPTINTK-4313 Reverse Franchisi'!C86+'PBBT-22623 Eliminate IMDS Depen'!C86+'PBBT-22425 Excalibur LFA_PBBT-2'!C86+'PBBT-23552 Excalibur to RCDW Mo'!C86+'PBPT16393 Credit Maintenance Pl'!C86+'CBPTINTK-3965 - KC Optimization'!C86+'CBPTINTK-2800 IDP CA Foundation'!C86)</f>
        <v>#REF!</v>
      </c>
      <c r="D70" s="104"/>
      <c r="E70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43'!E86+'ATM PH Release 37.5'!E86+'CBPTINT - 3291 CLP MVP 1 Renewa'!E86+#REF!+#REF!+'CBPTINTK-3069 Project Guardian'!E86+'CBPTINTK-3517 Property Insuranc'!E86+'CBPTINTK-4356 CB Enhancements A'!E86+'CBPTINTK-3796 CLD &amp; Repricing L'!E86+'CBPTINTK-23365 LCMS Funding Con'!E86+'PBBT-13832 DM Relationship 4,5,'!E86+'PBBT-23572 RESL POD Shift Left'!E86+'CBPTINTK-17774 Annual Mortgage '!E86+'Securitization November 2025 Re'!E86+'CBPTINTK-2616 Renewal Due Dilig'!E86+'CBPTINTK-23406 Upgrade DDGS Sma'!E86+'CBPTINTK-4105 Client at Risk CR'!E86+'CBPTINTK-4313 Reverse Franchisi'!E86+'PBBT-22623 Eliminate IMDS Depen'!E86+'PBBT-22425 Excalibur LFA_PBBT-2'!E86+'PBBT-23552 Excalibur to RCDW Mo'!E86+'PBPT16393 Credit Maintenance Pl'!E86+'CBPTINTK-3965 - KC Optimization'!E86+'CBPTINTK-2800 IDP CA Foundation'!E86)</f>
        <v>#REF!</v>
      </c>
      <c r="F70" s="104"/>
      <c r="G70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43'!G86+'ATM PH Release 37.5'!G86+'CBPTINT - 3291 CLP MVP 1 Renewa'!G86+#REF!+#REF!+'CBPTINTK-3069 Project Guardian'!G86+'CBPTINTK-3517 Property Insuranc'!G86+'CBPTINTK-4356 CB Enhancements A'!G86+'CBPTINTK-3796 CLD &amp; Repricing L'!G86+'CBPTINTK-23365 LCMS Funding Con'!G86+'PBBT-13832 DM Relationship 4,5,'!G86+'PBBT-23572 RESL POD Shift Left'!G86+'CBPTINTK-17774 Annual Mortgage '!G86+'Securitization November 2025 Re'!G86+'CBPTINTK-2616 Renewal Due Dilig'!G86+'CBPTINTK-23406 Upgrade DDGS Sma'!G86+'CBPTINTK-4105 Client at Risk CR'!G86+'CBPTINTK-4313 Reverse Franchisi'!G86+'PBBT-22623 Eliminate IMDS Depen'!G86+'PBBT-22425 Excalibur LFA_PBBT-2'!G86+'PBBT-23552 Excalibur to RCDW Mo'!G86+'PBPT16393 Credit Maintenance Pl'!G86+'CBPTINTK-3965 - KC Optimization'!G86+'CBPTINTK-2800 IDP CA Foundation'!G86)</f>
        <v>#REF!</v>
      </c>
      <c r="H70" s="104"/>
      <c r="I70" s="52"/>
      <c r="J70" s="52"/>
      <c r="K70" s="52"/>
      <c r="L70" s="52"/>
      <c r="M70" s="52"/>
      <c r="N70" s="52"/>
      <c r="O70" s="53"/>
      <c r="P70" s="51"/>
    </row>
    <row r="71" spans="1:16">
      <c r="A71" s="106" t="s">
        <v>129</v>
      </c>
      <c r="B71" s="106"/>
      <c r="C71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43'!C87+'ATM PH Release 37.5'!C87+'CBPTINT - 3291 CLP MVP 1 Renewa'!C87+#REF!+#REF!+'CBPTINTK-3069 Project Guardian'!C87+'CBPTINTK-3517 Property Insuranc'!C87+'CBPTINTK-4356 CB Enhancements A'!C87+'CBPTINTK-3796 CLD &amp; Repricing L'!C87+'CBPTINTK-23365 LCMS Funding Con'!C87+'PBBT-13832 DM Relationship 4,5,'!C87+'PBBT-23572 RESL POD Shift Left'!C87+'CBPTINTK-17774 Annual Mortgage '!C87+'Securitization November 2025 Re'!C87+'CBPTINTK-2616 Renewal Due Dilig'!C87+'CBPTINTK-23406 Upgrade DDGS Sma'!C87+'CBPTINTK-4105 Client at Risk CR'!C87+'CBPTINTK-4313 Reverse Franchisi'!C87+'PBBT-22623 Eliminate IMDS Depen'!C87+'PBBT-22425 Excalibur LFA_PBBT-2'!C87+'PBBT-23552 Excalibur to RCDW Mo'!C87+'PBPT16393 Credit Maintenance Pl'!C87+'CBPTINTK-3965 - KC Optimization'!C87+'CBPTINTK-2800 IDP CA Foundation'!C87)</f>
        <v>#REF!</v>
      </c>
      <c r="D71" s="104"/>
      <c r="E71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43'!E87+'ATM PH Release 37.5'!E87+'CBPTINT - 3291 CLP MVP 1 Renewa'!E87+#REF!+#REF!+'CBPTINTK-3069 Project Guardian'!E87+'CBPTINTK-3517 Property Insuranc'!E87+'CBPTINTK-4356 CB Enhancements A'!E87+'CBPTINTK-3796 CLD &amp; Repricing L'!E87+'CBPTINTK-23365 LCMS Funding Con'!E87+'PBBT-13832 DM Relationship 4,5,'!E87+'PBBT-23572 RESL POD Shift Left'!E87+'CBPTINTK-17774 Annual Mortgage '!E87+'Securitization November 2025 Re'!E87+'CBPTINTK-2616 Renewal Due Dilig'!E87+'CBPTINTK-23406 Upgrade DDGS Sma'!E87+'CBPTINTK-4105 Client at Risk CR'!E87+'CBPTINTK-4313 Reverse Franchisi'!E87+'PBBT-22623 Eliminate IMDS Depen'!E87+'PBBT-22425 Excalibur LFA_PBBT-2'!E87+'PBBT-23552 Excalibur to RCDW Mo'!E87+'PBPT16393 Credit Maintenance Pl'!E87+'CBPTINTK-3965 - KC Optimization'!E87+'CBPTINTK-2800 IDP CA Foundation'!E87)</f>
        <v>#REF!</v>
      </c>
      <c r="F71" s="104"/>
      <c r="G71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43'!G87+'ATM PH Release 37.5'!G87+'CBPTINT - 3291 CLP MVP 1 Renewa'!G87+#REF!+#REF!+'CBPTINTK-3069 Project Guardian'!G87+'CBPTINTK-3517 Property Insuranc'!G87+'CBPTINTK-4356 CB Enhancements A'!G87+'CBPTINTK-3796 CLD &amp; Repricing L'!G87+'CBPTINTK-23365 LCMS Funding Con'!G87+'PBBT-13832 DM Relationship 4,5,'!G87+'PBBT-23572 RESL POD Shift Left'!G87+'CBPTINTK-17774 Annual Mortgage '!G87+'Securitization November 2025 Re'!G87+'CBPTINTK-2616 Renewal Due Dilig'!G87+'CBPTINTK-23406 Upgrade DDGS Sma'!G87+'CBPTINTK-4105 Client at Risk CR'!G87+'CBPTINTK-4313 Reverse Franchisi'!G87+'PBBT-22623 Eliminate IMDS Depen'!G87+'PBBT-22425 Excalibur LFA_PBBT-2'!G87+'PBBT-23552 Excalibur to RCDW Mo'!G87+'PBPT16393 Credit Maintenance Pl'!G87+'CBPTINTK-3965 - KC Optimization'!G87+'CBPTINTK-2800 IDP CA Foundation'!G87)</f>
        <v>#REF!</v>
      </c>
      <c r="H71" s="104"/>
      <c r="I71" s="52"/>
      <c r="J71" s="52"/>
      <c r="K71" s="52"/>
      <c r="L71" s="52"/>
      <c r="M71" s="52"/>
      <c r="N71" s="52"/>
      <c r="O71" s="53"/>
      <c r="P71" s="51"/>
    </row>
    <row r="72" spans="1:16" ht="16.5" customHeight="1">
      <c r="A72" s="106" t="s">
        <v>130</v>
      </c>
      <c r="B72" s="106"/>
      <c r="C72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43'!C88+'ATM PH Release 37.5'!C88+'CBPTINT - 3291 CLP MVP 1 Renewa'!C88+#REF!+#REF!+'CBPTINTK-3069 Project Guardian'!C88+'CBPTINTK-3517 Property Insuranc'!C88+'CBPTINTK-4356 CB Enhancements A'!C88+'CBPTINTK-3796 CLD &amp; Repricing L'!C88+'CBPTINTK-23365 LCMS Funding Con'!C88+'PBBT-13832 DM Relationship 4,5,'!C88+'PBBT-23572 RESL POD Shift Left'!C88+'CBPTINTK-17774 Annual Mortgage '!C88+'Securitization November 2025 Re'!C88+'CBPTINTK-2616 Renewal Due Dilig'!C88+'CBPTINTK-23406 Upgrade DDGS Sma'!C88+'CBPTINTK-4105 Client at Risk CR'!C88+'CBPTINTK-4313 Reverse Franchisi'!C88+'PBBT-22623 Eliminate IMDS Depen'!C88+'PBBT-22425 Excalibur LFA_PBBT-2'!C88+'PBBT-23552 Excalibur to RCDW Mo'!C88+'PBPT16393 Credit Maintenance Pl'!C88+'CBPTINTK-3965 - KC Optimization'!C88+'CBPTINTK-2800 IDP CA Foundation'!C88)</f>
        <v>#REF!</v>
      </c>
      <c r="D72" s="104"/>
      <c r="E72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43'!E88+'ATM PH Release 37.5'!E88+'CBPTINT - 3291 CLP MVP 1 Renewa'!E88+#REF!+#REF!+'CBPTINTK-3069 Project Guardian'!E88+'CBPTINTK-3517 Property Insuranc'!E88+'CBPTINTK-4356 CB Enhancements A'!E88+'CBPTINTK-3796 CLD &amp; Repricing L'!E88+'CBPTINTK-23365 LCMS Funding Con'!E88+'PBBT-13832 DM Relationship 4,5,'!E88+'PBBT-23572 RESL POD Shift Left'!E88+'CBPTINTK-17774 Annual Mortgage '!E88+'Securitization November 2025 Re'!E88+'CBPTINTK-2616 Renewal Due Dilig'!E88+'CBPTINTK-23406 Upgrade DDGS Sma'!E88+'CBPTINTK-4105 Client at Risk CR'!E88+'CBPTINTK-4313 Reverse Franchisi'!E88+'PBBT-22623 Eliminate IMDS Depen'!E88+'PBBT-22425 Excalibur LFA_PBBT-2'!E88+'PBBT-23552 Excalibur to RCDW Mo'!E88+'PBPT16393 Credit Maintenance Pl'!E88+'CBPTINTK-3965 - KC Optimization'!E88+'CBPTINTK-2800 IDP CA Foundation'!E88)</f>
        <v>#REF!</v>
      </c>
      <c r="F72" s="104"/>
      <c r="G72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43'!G88+'ATM PH Release 37.5'!G88+'CBPTINT - 3291 CLP MVP 1 Renewa'!G88+#REF!+#REF!+'CBPTINTK-3069 Project Guardian'!G88+'CBPTINTK-3517 Property Insuranc'!G88+'CBPTINTK-4356 CB Enhancements A'!G88+'CBPTINTK-3796 CLD &amp; Repricing L'!G88+'CBPTINTK-23365 LCMS Funding Con'!G88+'PBBT-13832 DM Relationship 4,5,'!G88+'PBBT-23572 RESL POD Shift Left'!G88+'CBPTINTK-17774 Annual Mortgage '!G88+'Securitization November 2025 Re'!G88+'CBPTINTK-2616 Renewal Due Dilig'!G88+'CBPTINTK-23406 Upgrade DDGS Sma'!G88+'CBPTINTK-4105 Client at Risk CR'!G88+'CBPTINTK-4313 Reverse Franchisi'!G88+'PBBT-22623 Eliminate IMDS Depen'!G88+'PBBT-22425 Excalibur LFA_PBBT-2'!G88+'PBBT-23552 Excalibur to RCDW Mo'!G88+'PBPT16393 Credit Maintenance Pl'!G88+'CBPTINTK-3965 - KC Optimization'!G88+'CBPTINTK-2800 IDP CA Foundation'!G88)</f>
        <v>#REF!</v>
      </c>
      <c r="H72" s="104"/>
      <c r="I72" s="52"/>
      <c r="J72" s="52"/>
      <c r="K72" s="52"/>
      <c r="L72" s="52"/>
      <c r="M72" s="52"/>
      <c r="N72" s="52"/>
      <c r="O72" s="53"/>
      <c r="P72" s="51"/>
    </row>
    <row r="73" spans="1:16">
      <c r="A73" s="106" t="s">
        <v>131</v>
      </c>
      <c r="B73" s="106"/>
      <c r="C73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43'!C89+'ATM PH Release 37.5'!C89+'CBPTINT - 3291 CLP MVP 1 Renewa'!C89+#REF!+#REF!+'CBPTINTK-3069 Project Guardian'!C89+'CBPTINTK-3517 Property Insuranc'!C89+'CBPTINTK-4356 CB Enhancements A'!C89+'CBPTINTK-3796 CLD &amp; Repricing L'!C89+'CBPTINTK-23365 LCMS Funding Con'!C89+'PBBT-13832 DM Relationship 4,5,'!C89+'PBBT-23572 RESL POD Shift Left'!C89+'CBPTINTK-17774 Annual Mortgage '!C89+'Securitization November 2025 Re'!C89+'CBPTINTK-2616 Renewal Due Dilig'!C89+'CBPTINTK-23406 Upgrade DDGS Sma'!C89+'CBPTINTK-4105 Client at Risk CR'!C89+'CBPTINTK-4313 Reverse Franchisi'!C89+'PBBT-22623 Eliminate IMDS Depen'!C89+'PBBT-22425 Excalibur LFA_PBBT-2'!C89+'PBBT-23552 Excalibur to RCDW Mo'!C89+'PBPT16393 Credit Maintenance Pl'!C89+'CBPTINTK-3965 - KC Optimization'!C89+'CBPTINTK-2800 IDP CA Foundation'!C89)</f>
        <v>#REF!</v>
      </c>
      <c r="D73" s="104"/>
      <c r="E73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43'!E89+'ATM PH Release 37.5'!E89+'CBPTINT - 3291 CLP MVP 1 Renewa'!E89+#REF!+#REF!+'CBPTINTK-3069 Project Guardian'!E89+'CBPTINTK-3517 Property Insuranc'!E89+'CBPTINTK-4356 CB Enhancements A'!E89+'CBPTINTK-3796 CLD &amp; Repricing L'!E89+'CBPTINTK-23365 LCMS Funding Con'!E89+'PBBT-13832 DM Relationship 4,5,'!E89+'PBBT-23572 RESL POD Shift Left'!E89+'CBPTINTK-17774 Annual Mortgage '!E89+'Securitization November 2025 Re'!E89+'CBPTINTK-2616 Renewal Due Dilig'!E89+'CBPTINTK-23406 Upgrade DDGS Sma'!E89+'CBPTINTK-4105 Client at Risk CR'!E89+'CBPTINTK-4313 Reverse Franchisi'!E89+'PBBT-22623 Eliminate IMDS Depen'!E89+'PBBT-22425 Excalibur LFA_PBBT-2'!E89+'PBBT-23552 Excalibur to RCDW Mo'!E89+'PBPT16393 Credit Maintenance Pl'!E89+'CBPTINTK-3965 - KC Optimization'!E89+'CBPTINTK-2800 IDP CA Foundation'!E89)</f>
        <v>#REF!</v>
      </c>
      <c r="F73" s="104"/>
      <c r="G73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43'!G89+'ATM PH Release 37.5'!G89+'CBPTINT - 3291 CLP MVP 1 Renewa'!G89+#REF!+#REF!+'CBPTINTK-3069 Project Guardian'!G89+'CBPTINTK-3517 Property Insuranc'!G89+'CBPTINTK-4356 CB Enhancements A'!G89+'CBPTINTK-3796 CLD &amp; Repricing L'!G89+'CBPTINTK-23365 LCMS Funding Con'!G89+'PBBT-13832 DM Relationship 4,5,'!G89+'PBBT-23572 RESL POD Shift Left'!G89+'CBPTINTK-17774 Annual Mortgage '!G89+'Securitization November 2025 Re'!G89+'CBPTINTK-2616 Renewal Due Dilig'!G89+'CBPTINTK-23406 Upgrade DDGS Sma'!G89+'CBPTINTK-4105 Client at Risk CR'!G89+'CBPTINTK-4313 Reverse Franchisi'!G89+'PBBT-22623 Eliminate IMDS Depen'!G89+'PBBT-22425 Excalibur LFA_PBBT-2'!G89+'PBBT-23552 Excalibur to RCDW Mo'!G89+'PBPT16393 Credit Maintenance Pl'!G89+'CBPTINTK-3965 - KC Optimization'!G89+'CBPTINTK-2800 IDP CA Foundation'!G89)</f>
        <v>#REF!</v>
      </c>
      <c r="H73" s="104"/>
      <c r="I73" s="52"/>
      <c r="J73" s="52"/>
      <c r="K73" s="52"/>
      <c r="L73" s="52"/>
      <c r="M73" s="52"/>
      <c r="N73" s="52"/>
      <c r="O73" s="53"/>
      <c r="P73" s="51"/>
    </row>
    <row r="74" spans="1:16">
      <c r="A74" s="106" t="s">
        <v>132</v>
      </c>
      <c r="B74" s="106"/>
      <c r="C74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43'!C90+'ATM PH Release 37.5'!C90+'CBPTINT - 3291 CLP MVP 1 Renewa'!C90+#REF!+#REF!+'CBPTINTK-3069 Project Guardian'!C90+'CBPTINTK-3517 Property Insuranc'!C90+'CBPTINTK-4356 CB Enhancements A'!C90+'CBPTINTK-3796 CLD &amp; Repricing L'!C90+'CBPTINTK-23365 LCMS Funding Con'!C90+'PBBT-13832 DM Relationship 4,5,'!C90+'PBBT-23572 RESL POD Shift Left'!C90+'CBPTINTK-17774 Annual Mortgage '!C90+'Securitization November 2025 Re'!C90+'CBPTINTK-2616 Renewal Due Dilig'!C90+'CBPTINTK-23406 Upgrade DDGS Sma'!C90+'CBPTINTK-4105 Client at Risk CR'!C90+'CBPTINTK-4313 Reverse Franchisi'!C90+'PBBT-22623 Eliminate IMDS Depen'!C90+'PBBT-22425 Excalibur LFA_PBBT-2'!C90+'PBBT-23552 Excalibur to RCDW Mo'!C90+'PBPT16393 Credit Maintenance Pl'!C90+'CBPTINTK-3965 - KC Optimization'!C90+'CBPTINTK-2800 IDP CA Foundation'!C90)</f>
        <v>#REF!</v>
      </c>
      <c r="D74" s="104"/>
      <c r="E74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43'!E90+'ATM PH Release 37.5'!E90+'CBPTINT - 3291 CLP MVP 1 Renewa'!E90+#REF!+#REF!+'CBPTINTK-3069 Project Guardian'!E90+'CBPTINTK-3517 Property Insuranc'!E90+'CBPTINTK-4356 CB Enhancements A'!E90+'CBPTINTK-3796 CLD &amp; Repricing L'!E90+'CBPTINTK-23365 LCMS Funding Con'!E90+'PBBT-13832 DM Relationship 4,5,'!E90+'PBBT-23572 RESL POD Shift Left'!E90+'CBPTINTK-17774 Annual Mortgage '!E90+'Securitization November 2025 Re'!E90+'CBPTINTK-2616 Renewal Due Dilig'!E90+'CBPTINTK-23406 Upgrade DDGS Sma'!E90+'CBPTINTK-4105 Client at Risk CR'!E90+'CBPTINTK-4313 Reverse Franchisi'!E90+'PBBT-22623 Eliminate IMDS Depen'!E90+'PBBT-22425 Excalibur LFA_PBBT-2'!E90+'PBBT-23552 Excalibur to RCDW Mo'!E90+'PBPT16393 Credit Maintenance Pl'!E90+'CBPTINTK-3965 - KC Optimization'!E90+'CBPTINTK-2800 IDP CA Foundation'!E90)</f>
        <v>#REF!</v>
      </c>
      <c r="F74" s="104"/>
      <c r="G74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43'!G90+'ATM PH Release 37.5'!G90+'CBPTINT - 3291 CLP MVP 1 Renewa'!G90+#REF!+#REF!+'CBPTINTK-3069 Project Guardian'!G90+'CBPTINTK-3517 Property Insuranc'!G90+'CBPTINTK-4356 CB Enhancements A'!G90+'CBPTINTK-3796 CLD &amp; Repricing L'!G90+'CBPTINTK-23365 LCMS Funding Con'!G90+'PBBT-13832 DM Relationship 4,5,'!G90+'PBBT-23572 RESL POD Shift Left'!G90+'CBPTINTK-17774 Annual Mortgage '!G90+'Securitization November 2025 Re'!G90+'CBPTINTK-2616 Renewal Due Dilig'!G90+'CBPTINTK-23406 Upgrade DDGS Sma'!G90+'CBPTINTK-4105 Client at Risk CR'!G90+'CBPTINTK-4313 Reverse Franchisi'!G90+'PBBT-22623 Eliminate IMDS Depen'!G90+'PBBT-22425 Excalibur LFA_PBBT-2'!G90+'PBBT-23552 Excalibur to RCDW Mo'!G90+'PBPT16393 Credit Maintenance Pl'!G90+'CBPTINTK-3965 - KC Optimization'!G90+'CBPTINTK-2800 IDP CA Foundation'!G90)</f>
        <v>#REF!</v>
      </c>
      <c r="H74" s="104"/>
      <c r="I74" s="52"/>
      <c r="J74" s="52"/>
      <c r="K74" s="52"/>
      <c r="L74" s="52"/>
      <c r="M74" s="52"/>
      <c r="N74" s="52"/>
      <c r="O74" s="53"/>
      <c r="P74" s="51"/>
    </row>
    <row r="75" spans="1:16">
      <c r="A75" s="106" t="s">
        <v>133</v>
      </c>
      <c r="B75" s="106"/>
      <c r="C75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43'!C91+'ATM PH Release 37.5'!C91+'CBPTINT - 3291 CLP MVP 1 Renewa'!C91+#REF!+#REF!+'CBPTINTK-3069 Project Guardian'!C91+'CBPTINTK-3517 Property Insuranc'!C91+'CBPTINTK-4356 CB Enhancements A'!C91+'CBPTINTK-3796 CLD &amp; Repricing L'!C91+'CBPTINTK-23365 LCMS Funding Con'!C91+'PBBT-13832 DM Relationship 4,5,'!C91+'PBBT-23572 RESL POD Shift Left'!C91+'CBPTINTK-17774 Annual Mortgage '!C91+'Securitization November 2025 Re'!C91+'CBPTINTK-2616 Renewal Due Dilig'!C91+'CBPTINTK-23406 Upgrade DDGS Sma'!C91+'CBPTINTK-4105 Client at Risk CR'!C91+'CBPTINTK-4313 Reverse Franchisi'!C91+'PBBT-22623 Eliminate IMDS Depen'!C91+'PBBT-22425 Excalibur LFA_PBBT-2'!C91+'PBBT-23552 Excalibur to RCDW Mo'!C91+'PBPT16393 Credit Maintenance Pl'!C91+'CBPTINTK-3965 - KC Optimization'!C91+'CBPTINTK-2800 IDP CA Foundation'!C91)</f>
        <v>#REF!</v>
      </c>
      <c r="D75" s="104"/>
      <c r="E75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43'!E91+'ATM PH Release 37.5'!E91+'CBPTINT - 3291 CLP MVP 1 Renewa'!E91+#REF!+#REF!+'CBPTINTK-3069 Project Guardian'!E91+'CBPTINTK-3517 Property Insuranc'!E91+'CBPTINTK-4356 CB Enhancements A'!E91+'CBPTINTK-3796 CLD &amp; Repricing L'!E91+'CBPTINTK-23365 LCMS Funding Con'!E91+'PBBT-13832 DM Relationship 4,5,'!E91+'PBBT-23572 RESL POD Shift Left'!E91+'CBPTINTK-17774 Annual Mortgage '!E91+'Securitization November 2025 Re'!E91+'CBPTINTK-2616 Renewal Due Dilig'!E91+'CBPTINTK-23406 Upgrade DDGS Sma'!E91+'CBPTINTK-4105 Client at Risk CR'!E91+'CBPTINTK-4313 Reverse Franchisi'!E91+'PBBT-22623 Eliminate IMDS Depen'!E91+'PBBT-22425 Excalibur LFA_PBBT-2'!E91+'PBBT-23552 Excalibur to RCDW Mo'!E91+'PBPT16393 Credit Maintenance Pl'!E91+'CBPTINTK-3965 - KC Optimization'!E91+'CBPTINTK-2800 IDP CA Foundation'!E91)</f>
        <v>#REF!</v>
      </c>
      <c r="F75" s="104"/>
      <c r="G75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43'!G91+'ATM PH Release 37.5'!G91+'CBPTINT - 3291 CLP MVP 1 Renewa'!G91+#REF!+#REF!+'CBPTINTK-3069 Project Guardian'!G91+'CBPTINTK-3517 Property Insuranc'!G91+'CBPTINTK-4356 CB Enhancements A'!G91+'CBPTINTK-3796 CLD &amp; Repricing L'!G91+'CBPTINTK-23365 LCMS Funding Con'!G91+'PBBT-13832 DM Relationship 4,5,'!G91+'PBBT-23572 RESL POD Shift Left'!G91+'CBPTINTK-17774 Annual Mortgage '!G91+'Securitization November 2025 Re'!G91+'CBPTINTK-2616 Renewal Due Dilig'!G91+'CBPTINTK-23406 Upgrade DDGS Sma'!G91+'CBPTINTK-4105 Client at Risk CR'!G91+'CBPTINTK-4313 Reverse Franchisi'!G91+'PBBT-22623 Eliminate IMDS Depen'!G91+'PBBT-22425 Excalibur LFA_PBBT-2'!G91+'PBBT-23552 Excalibur to RCDW Mo'!G91+'PBPT16393 Credit Maintenance Pl'!G91+'CBPTINTK-3965 - KC Optimization'!G91+'CBPTINTK-2800 IDP CA Foundation'!G91)</f>
        <v>#REF!</v>
      </c>
      <c r="H75" s="104"/>
      <c r="I75" s="52"/>
      <c r="J75" s="52"/>
      <c r="K75" s="52"/>
      <c r="L75" s="52"/>
      <c r="M75" s="52"/>
      <c r="N75" s="52"/>
      <c r="O75" s="53"/>
      <c r="P75" s="51"/>
    </row>
    <row r="76" spans="1:16">
      <c r="A76" s="106" t="s">
        <v>134</v>
      </c>
      <c r="B76" s="106"/>
      <c r="C76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43'!C92+'ATM PH Release 37.5'!C92+'CBPTINT - 3291 CLP MVP 1 Renewa'!C92+#REF!+#REF!+'CBPTINTK-3069 Project Guardian'!C92+'CBPTINTK-3517 Property Insuranc'!C92+'CBPTINTK-4356 CB Enhancements A'!C92+'CBPTINTK-3796 CLD &amp; Repricing L'!C92+'CBPTINTK-23365 LCMS Funding Con'!C92+'PBBT-13832 DM Relationship 4,5,'!C92+'PBBT-23572 RESL POD Shift Left'!C92+'CBPTINTK-17774 Annual Mortgage '!C92+'Securitization November 2025 Re'!C92+'CBPTINTK-2616 Renewal Due Dilig'!C92+'CBPTINTK-23406 Upgrade DDGS Sma'!C92+'CBPTINTK-4105 Client at Risk CR'!C92+'CBPTINTK-4313 Reverse Franchisi'!C92+'PBBT-22623 Eliminate IMDS Depen'!C92+'PBBT-22425 Excalibur LFA_PBBT-2'!C92+'PBBT-23552 Excalibur to RCDW Mo'!C92+'PBPT16393 Credit Maintenance Pl'!C92+'CBPTINTK-3965 - KC Optimization'!C92+'CBPTINTK-2800 IDP CA Foundation'!C92)</f>
        <v>#REF!</v>
      </c>
      <c r="D76" s="104"/>
      <c r="E76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43'!E92+'ATM PH Release 37.5'!E92+'CBPTINT - 3291 CLP MVP 1 Renewa'!E92+#REF!+#REF!+'CBPTINTK-3069 Project Guardian'!E92+'CBPTINTK-3517 Property Insuranc'!E92+'CBPTINTK-4356 CB Enhancements A'!E92+'CBPTINTK-3796 CLD &amp; Repricing L'!E92+'CBPTINTK-23365 LCMS Funding Con'!E92+'PBBT-13832 DM Relationship 4,5,'!E92+'PBBT-23572 RESL POD Shift Left'!E92+'CBPTINTK-17774 Annual Mortgage '!E92+'Securitization November 2025 Re'!E92+'CBPTINTK-2616 Renewal Due Dilig'!E92+'CBPTINTK-23406 Upgrade DDGS Sma'!E92+'CBPTINTK-4105 Client at Risk CR'!E92+'CBPTINTK-4313 Reverse Franchisi'!E92+'PBBT-22623 Eliminate IMDS Depen'!E92+'PBBT-22425 Excalibur LFA_PBBT-2'!E92+'PBBT-23552 Excalibur to RCDW Mo'!E92+'PBPT16393 Credit Maintenance Pl'!E92+'CBPTINTK-3965 - KC Optimization'!E92+'CBPTINTK-2800 IDP CA Foundation'!E92)</f>
        <v>#REF!</v>
      </c>
      <c r="F76" s="104"/>
      <c r="G76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43'!G92+'ATM PH Release 37.5'!G92+'CBPTINT - 3291 CLP MVP 1 Renewa'!G92+#REF!+#REF!+'CBPTINTK-3069 Project Guardian'!G92+'CBPTINTK-3517 Property Insuranc'!G92+'CBPTINTK-4356 CB Enhancements A'!G92+'CBPTINTK-3796 CLD &amp; Repricing L'!G92+'CBPTINTK-23365 LCMS Funding Con'!G92+'PBBT-13832 DM Relationship 4,5,'!G92+'PBBT-23572 RESL POD Shift Left'!G92+'CBPTINTK-17774 Annual Mortgage '!G92+'Securitization November 2025 Re'!G92+'CBPTINTK-2616 Renewal Due Dilig'!G92+'CBPTINTK-23406 Upgrade DDGS Sma'!G92+'CBPTINTK-4105 Client at Risk CR'!G92+'CBPTINTK-4313 Reverse Franchisi'!G92+'PBBT-22623 Eliminate IMDS Depen'!G92+'PBBT-22425 Excalibur LFA_PBBT-2'!G92+'PBBT-23552 Excalibur to RCDW Mo'!G92+'PBPT16393 Credit Maintenance Pl'!G92+'CBPTINTK-3965 - KC Optimization'!G92+'CBPTINTK-2800 IDP CA Foundation'!G92)</f>
        <v>#REF!</v>
      </c>
      <c r="H76" s="104"/>
      <c r="I76" s="52"/>
      <c r="J76" s="52"/>
      <c r="K76" s="52"/>
      <c r="L76" s="52"/>
      <c r="M76" s="52"/>
      <c r="N76" s="52"/>
      <c r="O76" s="53"/>
      <c r="P76" s="51"/>
    </row>
    <row r="77" spans="1:16">
      <c r="A77" s="106" t="s">
        <v>135</v>
      </c>
      <c r="B77" s="106"/>
      <c r="C77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43'!C93+'ATM PH Release 37.5'!C93+'CBPTINT - 3291 CLP MVP 1 Renewa'!C93+#REF!+#REF!+'CBPTINTK-3069 Project Guardian'!C93+'CBPTINTK-3517 Property Insuranc'!C93+'CBPTINTK-4356 CB Enhancements A'!C93+'CBPTINTK-3796 CLD &amp; Repricing L'!C93+'CBPTINTK-23365 LCMS Funding Con'!C93+'PBBT-13832 DM Relationship 4,5,'!C93+'PBBT-23572 RESL POD Shift Left'!C93+'CBPTINTK-17774 Annual Mortgage '!C93+'Securitization November 2025 Re'!C93+'CBPTINTK-2616 Renewal Due Dilig'!C93+'CBPTINTK-23406 Upgrade DDGS Sma'!C93+'CBPTINTK-4105 Client at Risk CR'!C93+'CBPTINTK-4313 Reverse Franchisi'!C93+'PBBT-22623 Eliminate IMDS Depen'!C93+'PBBT-22425 Excalibur LFA_PBBT-2'!C93+'PBBT-23552 Excalibur to RCDW Mo'!C93+'PBPT16393 Credit Maintenance Pl'!C93+'CBPTINTK-3965 - KC Optimization'!C93+'CBPTINTK-2800 IDP CA Foundation'!C93)</f>
        <v>#REF!</v>
      </c>
      <c r="D77" s="104"/>
      <c r="E77" s="10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43'!E93+'ATM PH Release 37.5'!E93+'CBPTINT - 3291 CLP MVP 1 Renewa'!E93+#REF!+#REF!+'CBPTINTK-3069 Project Guardian'!E93+'CBPTINTK-3517 Property Insuranc'!E93+'CBPTINTK-4356 CB Enhancements A'!E93+'CBPTINTK-3796 CLD &amp; Repricing L'!E93+'CBPTINTK-23365 LCMS Funding Con'!E93+'PBBT-13832 DM Relationship 4,5,'!E93+'PBBT-23572 RESL POD Shift Left'!E93+'CBPTINTK-17774 Annual Mortgage '!E93+'Securitization November 2025 Re'!E93+'CBPTINTK-2616 Renewal Due Dilig'!E93+'CBPTINTK-23406 Upgrade DDGS Sma'!E93+'CBPTINTK-4105 Client at Risk CR'!E93+'CBPTINTK-4313 Reverse Franchisi'!E93+'PBBT-22623 Eliminate IMDS Depen'!E93+'PBBT-22425 Excalibur LFA_PBBT-2'!E93+'PBBT-23552 Excalibur to RCDW Mo'!E93+'PBPT16393 Credit Maintenance Pl'!E93+'CBPTINTK-3965 - KC Optimization'!E93+'CBPTINTK-2800 IDP CA Foundation'!E93)</f>
        <v>#REF!</v>
      </c>
      <c r="F77" s="104"/>
      <c r="G77" s="10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43'!G93+'ATM PH Release 37.5'!G93+'CBPTINT - 3291 CLP MVP 1 Renewa'!G93+#REF!+#REF!+'CBPTINTK-3069 Project Guardian'!G93+'CBPTINTK-3517 Property Insuranc'!G93+'CBPTINTK-4356 CB Enhancements A'!G93+'CBPTINTK-3796 CLD &amp; Repricing L'!G93+'CBPTINTK-23365 LCMS Funding Con'!G93+'PBBT-13832 DM Relationship 4,5,'!G93+'PBBT-23572 RESL POD Shift Left'!G93+'CBPTINTK-17774 Annual Mortgage '!G93+'Securitization November 2025 Re'!G93+'CBPTINTK-2616 Renewal Due Dilig'!G93+'CBPTINTK-23406 Upgrade DDGS Sma'!G93+'CBPTINTK-4105 Client at Risk CR'!G93+'CBPTINTK-4313 Reverse Franchisi'!G93+'PBBT-22623 Eliminate IMDS Depen'!G93+'PBBT-22425 Excalibur LFA_PBBT-2'!G93+'PBBT-23552 Excalibur to RCDW Mo'!G93+'PBPT16393 Credit Maintenance Pl'!G93+'CBPTINTK-3965 - KC Optimization'!G93+'CBPTINTK-2800 IDP CA Foundation'!G93)</f>
        <v>#REF!</v>
      </c>
      <c r="H77" s="104"/>
      <c r="I77" s="52"/>
      <c r="J77" s="52"/>
      <c r="K77" s="52"/>
      <c r="L77" s="52"/>
      <c r="M77" s="52"/>
      <c r="N77" s="52"/>
      <c r="O77" s="53"/>
      <c r="P77" s="51"/>
    </row>
    <row r="78" spans="1:16">
      <c r="A78" s="157" t="s">
        <v>136</v>
      </c>
      <c r="B78" s="158"/>
      <c r="C78" s="152" t="e">
        <f>SUM(C59:D77)</f>
        <v>#REF!</v>
      </c>
      <c r="D78" s="152"/>
      <c r="E78" s="152" t="e">
        <f>SUM(E59:F77)</f>
        <v>#REF!</v>
      </c>
      <c r="F78" s="152"/>
      <c r="G78" s="152" t="e">
        <f>SUM(G59:H77)</f>
        <v>#REF!</v>
      </c>
      <c r="H78" s="152"/>
      <c r="I78" s="52"/>
      <c r="J78" s="52"/>
      <c r="K78" s="52"/>
      <c r="L78" s="52"/>
      <c r="M78" s="52"/>
      <c r="N78" s="52"/>
      <c r="O78" s="53"/>
      <c r="P78" s="51"/>
    </row>
    <row r="79" spans="1:16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3"/>
      <c r="P79" s="51"/>
    </row>
    <row r="80" spans="1:16">
      <c r="A80" s="52"/>
      <c r="B80" s="52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3"/>
      <c r="P80" s="67"/>
    </row>
    <row r="81" spans="1:15">
      <c r="A81" s="153" t="s">
        <v>137</v>
      </c>
      <c r="B81" s="153"/>
      <c r="C81" s="153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3"/>
    </row>
    <row r="82" spans="1:15">
      <c r="A82" s="157" t="s">
        <v>138</v>
      </c>
      <c r="B82" s="158"/>
      <c r="C82" s="42" t="s">
        <v>139</v>
      </c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3"/>
    </row>
    <row r="83" spans="1:15">
      <c r="A83" s="121" t="s">
        <v>140</v>
      </c>
      <c r="B83" s="122"/>
      <c r="C83" s="6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43'!C83+'ATM PH Release 37.5'!C83+'CBPTINT - 3291 CLP MVP 1 Renewa'!C83+#REF!+#REF!+'CBPTINTK-3069 Project Guardian'!C83+'CBPTINTK-3517 Property Insuranc'!C83+'CBPTINTK-4356 CB Enhancements A'!C83+'CBPTINTK-3796 CLD &amp; Repricing L'!C83+'CBPTINTK-23365 LCMS Funding Con'!C83+'PBBT-13832 DM Relationship 4,5,'!C83+'PBBT-23572 RESL POD Shift Left'!C83+'CBPTINTK-17774 Annual Mortgage '!C83+'Securitization November 2025 Re'!C83+'CBPTINTK-2616 Renewal Due Dilig'!C83+'CBPTINTK-23406 Upgrade DDGS Sma'!C83+'CBPTINTK-4105 Client at Risk CR'!C83+'CBPTINTK-4313 Reverse Franchisi'!C83+'PBBT-22623 Eliminate IMDS Depen'!C83+'PBBT-22425 Excalibur LFA_PBBT-2'!C83+'PBBT-23552 Excalibur to RCDW Mo'!C83+'PBPT16393 Credit Maintenance Pl'!C83+'CBPTINTK-3965 - KC Optimization'!C83+'CBPTINTK-2800 IDP CA Foundation'!C83+'CBPTINTK-2800 IDP CA Foundation'!C99)</f>
        <v>#REF!</v>
      </c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3"/>
    </row>
    <row r="84" spans="1:15">
      <c r="A84" s="113" t="s">
        <v>141</v>
      </c>
      <c r="B84" s="114"/>
      <c r="C84" s="6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43'!C84+'ATM PH Release 37.5'!C84+'CBPTINT - 3291 CLP MVP 1 Renewa'!C84+#REF!+#REF!+'CBPTINTK-3069 Project Guardian'!C84+'CBPTINTK-3517 Property Insuranc'!C84+'CBPTINTK-4356 CB Enhancements A'!C84+'CBPTINTK-3796 CLD &amp; Repricing L'!C84+'CBPTINTK-23365 LCMS Funding Con'!C84+'PBBT-13832 DM Relationship 4,5,'!C84+'PBBT-23572 RESL POD Shift Left'!C84+'CBPTINTK-17774 Annual Mortgage '!C84+'Securitization November 2025 Re'!C84+'CBPTINTK-2616 Renewal Due Dilig'!C84+'CBPTINTK-23406 Upgrade DDGS Sma'!C84+'CBPTINTK-4105 Client at Risk CR'!C84+'CBPTINTK-4313 Reverse Franchisi'!C84+'PBBT-22623 Eliminate IMDS Depen'!C84+'PBBT-22425 Excalibur LFA_PBBT-2'!C84+'PBBT-23552 Excalibur to RCDW Mo'!C84+'PBPT16393 Credit Maintenance Pl'!C84+'CBPTINTK-3965 - KC Optimization'!C84+'CBPTINTK-2800 IDP CA Foundation'!C84+'CBPTINTK-2800 IDP CA Foundation'!C100)</f>
        <v>#REF!</v>
      </c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3"/>
    </row>
    <row r="85" spans="1:15">
      <c r="A85" s="113" t="s">
        <v>142</v>
      </c>
      <c r="B85" s="114"/>
      <c r="C85" s="6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43'!C85+'ATM PH Release 37.5'!C85+'CBPTINT - 3291 CLP MVP 1 Renewa'!C85+#REF!+#REF!+'CBPTINTK-3069 Project Guardian'!C85+'CBPTINTK-3517 Property Insuranc'!C85+'CBPTINTK-4356 CB Enhancements A'!C85+'CBPTINTK-3796 CLD &amp; Repricing L'!C85+'CBPTINTK-23365 LCMS Funding Con'!C85+'PBBT-13832 DM Relationship 4,5,'!C85+'PBBT-23572 RESL POD Shift Left'!C85+'CBPTINTK-17774 Annual Mortgage '!C85+'Securitization November 2025 Re'!C85+'CBPTINTK-2616 Renewal Due Dilig'!C85+'CBPTINTK-23406 Upgrade DDGS Sma'!C85+'CBPTINTK-4105 Client at Risk CR'!C85+'CBPTINTK-4313 Reverse Franchisi'!C85+'PBBT-22623 Eliminate IMDS Depen'!C85+'PBBT-22425 Excalibur LFA_PBBT-2'!C85+'PBBT-23552 Excalibur to RCDW Mo'!C85+'PBPT16393 Credit Maintenance Pl'!C85+'CBPTINTK-3965 - KC Optimization'!C85+'CBPTINTK-2800 IDP CA Foundation'!C85+'CBPTINTK-2800 IDP CA Foundation'!C101)</f>
        <v>#REF!</v>
      </c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3"/>
    </row>
    <row r="86" spans="1:15">
      <c r="A86" s="57"/>
      <c r="B86" s="52"/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3"/>
    </row>
    <row r="87" spans="1:15">
      <c r="A87" s="57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3"/>
    </row>
    <row r="88" spans="1:15">
      <c r="A88" s="153" t="s">
        <v>143</v>
      </c>
      <c r="B88" s="153"/>
      <c r="C88" s="154"/>
      <c r="D88" s="154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3"/>
    </row>
    <row r="89" spans="1:15" ht="29.1">
      <c r="A89" s="27" t="s">
        <v>144</v>
      </c>
      <c r="B89" s="11" t="s">
        <v>145</v>
      </c>
      <c r="C89" s="11" t="s">
        <v>146</v>
      </c>
      <c r="D89" s="11" t="s">
        <v>147</v>
      </c>
      <c r="E89" s="11" t="s">
        <v>148</v>
      </c>
      <c r="F89" s="11" t="s">
        <v>149</v>
      </c>
      <c r="G89" s="26"/>
      <c r="H89" s="26"/>
      <c r="I89" s="26"/>
      <c r="J89" s="26"/>
      <c r="K89" s="26"/>
      <c r="L89" s="26"/>
      <c r="M89" s="52"/>
      <c r="N89" s="52"/>
      <c r="O89" s="53"/>
    </row>
    <row r="90" spans="1:15">
      <c r="A90" s="69" t="s">
        <v>150</v>
      </c>
      <c r="B90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43'!B106+'ATM PH Release 37.5'!B106+'CBPTINT - 3291 CLP MVP 1 Renewa'!B106+#REF!+#REF!+'CBPTINTK-3069 Project Guardian'!B106+'CBPTINTK-3517 Property Insuranc'!B106+'CBPTINTK-4356 CB Enhancements A'!B106+'CBPTINTK-3796 CLD &amp; Repricing L'!B106+'CBPTINTK-23365 LCMS Funding Con'!B106+'PBBT-13832 DM Relationship 4,5,'!B106+'PBBT-23572 RESL POD Shift Left'!B106+'CBPTINTK-17774 Annual Mortgage '!B106+'Securitization November 2025 Re'!B106+'CBPTINTK-2616 Renewal Due Dilig'!B106+'CBPTINTK-23406 Upgrade DDGS Sma'!B106+'CBPTINTK-4105 Client at Risk CR'!B106+'CBPTINTK-4313 Reverse Franchisi'!B106+'PBBT-22623 Eliminate IMDS Depen'!B106+'PBBT-22425 Excalibur LFA_PBBT-2'!B106+'PBBT-23552 Excalibur to RCDW Mo'!B106+'PBPT16393 Credit Maintenance Pl'!B106+'CBPTINTK-3965 - KC Optimization'!B106+'CBPTINTK-2800 IDP CA Foundation'!B106)</f>
        <v>#REF!</v>
      </c>
      <c r="C90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43'!C106+'ATM PH Release 37.5'!C106+'CBPTINT - 3291 CLP MVP 1 Renewa'!C106+#REF!+#REF!+'CBPTINTK-3069 Project Guardian'!C106+'CBPTINTK-3517 Property Insuranc'!C106+'CBPTINTK-4356 CB Enhancements A'!C106+'CBPTINTK-3796 CLD &amp; Repricing L'!C106+'CBPTINTK-23365 LCMS Funding Con'!C106+'PBBT-13832 DM Relationship 4,5,'!C106+'PBBT-23572 RESL POD Shift Left'!C106+'CBPTINTK-17774 Annual Mortgage '!C106+'Securitization November 2025 Re'!C106+'CBPTINTK-2616 Renewal Due Dilig'!C106+'CBPTINTK-23406 Upgrade DDGS Sma'!C106+'CBPTINTK-4105 Client at Risk CR'!C106+'CBPTINTK-4313 Reverse Franchisi'!C106+'PBBT-22623 Eliminate IMDS Depen'!C106+'PBBT-22425 Excalibur LFA_PBBT-2'!C106+'PBBT-23552 Excalibur to RCDW Mo'!C106+'PBPT16393 Credit Maintenance Pl'!C106+'CBPTINTK-3965 - KC Optimization'!C106+'CBPTINTK-2800 IDP CA Foundation'!C106)</f>
        <v>#REF!</v>
      </c>
      <c r="D90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43'!D106+'ATM PH Release 37.5'!D106+'CBPTINT - 3291 CLP MVP 1 Renewa'!D106+#REF!+#REF!+'CBPTINTK-3069 Project Guardian'!D106+'CBPTINTK-3517 Property Insuranc'!D106+'CBPTINTK-4356 CB Enhancements A'!D106+'CBPTINTK-3796 CLD &amp; Repricing L'!D106+'CBPTINTK-23365 LCMS Funding Con'!D106+'PBBT-13832 DM Relationship 4,5,'!D106+'PBBT-23572 RESL POD Shift Left'!D106+'CBPTINTK-17774 Annual Mortgage '!D106+'Securitization November 2025 Re'!D106+'CBPTINTK-2616 Renewal Due Dilig'!D106+'CBPTINTK-23406 Upgrade DDGS Sma'!D106+'CBPTINTK-4105 Client at Risk CR'!D106+'CBPTINTK-4313 Reverse Franchisi'!D106+'PBBT-22623 Eliminate IMDS Depen'!D106+'PBBT-22425 Excalibur LFA_PBBT-2'!D106+'PBBT-23552 Excalibur to RCDW Mo'!D106+'PBPT16393 Credit Maintenance Pl'!D106+'CBPTINTK-3965 - KC Optimization'!D106+'CBPTINTK-2800 IDP CA Foundation'!D106)</f>
        <v>#REF!</v>
      </c>
      <c r="E90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43'!E106+'ATM PH Release 37.5'!E106+'CBPTINT - 3291 CLP MVP 1 Renewa'!E106+#REF!+#REF!+'CBPTINTK-3069 Project Guardian'!E106+'CBPTINTK-3517 Property Insuranc'!E106+'CBPTINTK-4356 CB Enhancements A'!E106+'CBPTINTK-3796 CLD &amp; Repricing L'!E106+'CBPTINTK-23365 LCMS Funding Con'!E106+'PBBT-13832 DM Relationship 4,5,'!E106+'PBBT-23572 RESL POD Shift Left'!E106+'CBPTINTK-17774 Annual Mortgage '!E106+'Securitization November 2025 Re'!E106+'CBPTINTK-2616 Renewal Due Dilig'!E106+'CBPTINTK-23406 Upgrade DDGS Sma'!E106+'CBPTINTK-4105 Client at Risk CR'!E106+'CBPTINTK-4313 Reverse Franchisi'!E106+'PBBT-22623 Eliminate IMDS Depen'!E106+'PBBT-22425 Excalibur LFA_PBBT-2'!E106+'PBBT-23552 Excalibur to RCDW Mo'!E106+'PBPT16393 Credit Maintenance Pl'!E106+'CBPTINTK-3965 - KC Optimization'!E106+'CBPTINTK-2800 IDP CA Foundation'!E106)</f>
        <v>#REF!</v>
      </c>
      <c r="F90" s="72" t="e">
        <f>SUM(B90:E90)</f>
        <v>#REF!</v>
      </c>
      <c r="G90" s="26"/>
      <c r="H90" s="26"/>
      <c r="I90" s="26"/>
      <c r="J90" s="26"/>
      <c r="K90" s="26"/>
      <c r="L90" s="26"/>
      <c r="M90" s="52"/>
      <c r="N90" s="52"/>
      <c r="O90" s="53"/>
    </row>
    <row r="91" spans="1:15">
      <c r="A91" s="69" t="s">
        <v>151</v>
      </c>
      <c r="B91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43'!B107+'ATM PH Release 37.5'!B107+'CBPTINT - 3291 CLP MVP 1 Renewa'!B107+#REF!+#REF!+'CBPTINTK-3069 Project Guardian'!B107+'CBPTINTK-3517 Property Insuranc'!B107+'CBPTINTK-4356 CB Enhancements A'!B107+'CBPTINTK-3796 CLD &amp; Repricing L'!B107+'CBPTINTK-23365 LCMS Funding Con'!B107+'PBBT-13832 DM Relationship 4,5,'!B107+'PBBT-23572 RESL POD Shift Left'!B107+'CBPTINTK-17774 Annual Mortgage '!B107+'Securitization November 2025 Re'!B107+'CBPTINTK-2616 Renewal Due Dilig'!B107+'CBPTINTK-23406 Upgrade DDGS Sma'!B107+'CBPTINTK-4105 Client at Risk CR'!B107+'CBPTINTK-4313 Reverse Franchisi'!B107+'PBBT-22623 Eliminate IMDS Depen'!B107+'PBBT-22425 Excalibur LFA_PBBT-2'!B107+'PBBT-23552 Excalibur to RCDW Mo'!B107+'PBPT16393 Credit Maintenance Pl'!B107+'CBPTINTK-3965 - KC Optimization'!B107+'CBPTINTK-2800 IDP CA Foundation'!B107)</f>
        <v>#REF!</v>
      </c>
      <c r="C91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43'!C107+'ATM PH Release 37.5'!C107+'CBPTINT - 3291 CLP MVP 1 Renewa'!C107+#REF!+#REF!+'CBPTINTK-3069 Project Guardian'!C107+'CBPTINTK-3517 Property Insuranc'!C107+'CBPTINTK-4356 CB Enhancements A'!C107+'CBPTINTK-3796 CLD &amp; Repricing L'!C107+'CBPTINTK-23365 LCMS Funding Con'!C107+'PBBT-13832 DM Relationship 4,5,'!C107+'PBBT-23572 RESL POD Shift Left'!C107+'CBPTINTK-17774 Annual Mortgage '!C107+'Securitization November 2025 Re'!C107+'CBPTINTK-2616 Renewal Due Dilig'!C107+'CBPTINTK-23406 Upgrade DDGS Sma'!C107+'CBPTINTK-4105 Client at Risk CR'!C107+'CBPTINTK-4313 Reverse Franchisi'!C107+'PBBT-22623 Eliminate IMDS Depen'!C107+'PBBT-22425 Excalibur LFA_PBBT-2'!C107+'PBBT-23552 Excalibur to RCDW Mo'!C107+'PBPT16393 Credit Maintenance Pl'!C107+'CBPTINTK-3965 - KC Optimization'!C107+'CBPTINTK-2800 IDP CA Foundation'!C107)</f>
        <v>#REF!</v>
      </c>
      <c r="D91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43'!D107+'ATM PH Release 37.5'!D107+'CBPTINT - 3291 CLP MVP 1 Renewa'!D107+#REF!+#REF!+'CBPTINTK-3069 Project Guardian'!D107+'CBPTINTK-3517 Property Insuranc'!D107+'CBPTINTK-4356 CB Enhancements A'!D107+'CBPTINTK-3796 CLD &amp; Repricing L'!D107+'CBPTINTK-23365 LCMS Funding Con'!D107+'PBBT-13832 DM Relationship 4,5,'!D107+'PBBT-23572 RESL POD Shift Left'!D107+'CBPTINTK-17774 Annual Mortgage '!D107+'Securitization November 2025 Re'!D107+'CBPTINTK-2616 Renewal Due Dilig'!D107+'CBPTINTK-23406 Upgrade DDGS Sma'!D107+'CBPTINTK-4105 Client at Risk CR'!D107+'CBPTINTK-4313 Reverse Franchisi'!D107+'PBBT-22623 Eliminate IMDS Depen'!D107+'PBBT-22425 Excalibur LFA_PBBT-2'!D107+'PBBT-23552 Excalibur to RCDW Mo'!D107+'PBPT16393 Credit Maintenance Pl'!D107+'CBPTINTK-3965 - KC Optimization'!D107+'CBPTINTK-2800 IDP CA Foundation'!D107)</f>
        <v>#REF!</v>
      </c>
      <c r="E91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43'!E107+'ATM PH Release 37.5'!E107+'CBPTINT - 3291 CLP MVP 1 Renewa'!E107+#REF!+#REF!+'CBPTINTK-3069 Project Guardian'!E107+'CBPTINTK-3517 Property Insuranc'!E107+'CBPTINTK-4356 CB Enhancements A'!E107+'CBPTINTK-3796 CLD &amp; Repricing L'!E107+'CBPTINTK-23365 LCMS Funding Con'!E107+'PBBT-13832 DM Relationship 4,5,'!E107+'PBBT-23572 RESL POD Shift Left'!E107+'CBPTINTK-17774 Annual Mortgage '!E107+'Securitization November 2025 Re'!E107+'CBPTINTK-2616 Renewal Due Dilig'!E107+'CBPTINTK-23406 Upgrade DDGS Sma'!E107+'CBPTINTK-4105 Client at Risk CR'!E107+'CBPTINTK-4313 Reverse Franchisi'!E107+'PBBT-22623 Eliminate IMDS Depen'!E107+'PBBT-22425 Excalibur LFA_PBBT-2'!E107+'PBBT-23552 Excalibur to RCDW Mo'!E107+'PBPT16393 Credit Maintenance Pl'!E107+'CBPTINTK-3965 - KC Optimization'!E107+'CBPTINTK-2800 IDP CA Foundation'!E107)</f>
        <v>#REF!</v>
      </c>
      <c r="F91" s="72" t="e">
        <f t="shared" ref="F91:F98" si="0">SUM(B91:E91)</f>
        <v>#REF!</v>
      </c>
      <c r="G91" s="26"/>
      <c r="H91" s="26"/>
      <c r="I91" s="26"/>
      <c r="J91" s="26"/>
      <c r="K91" s="26"/>
      <c r="L91" s="26"/>
      <c r="M91" s="52"/>
      <c r="N91" s="52"/>
      <c r="O91" s="53"/>
    </row>
    <row r="92" spans="1:15">
      <c r="A92" s="69" t="s">
        <v>152</v>
      </c>
      <c r="B92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43'!B108+'ATM PH Release 37.5'!B108+'CBPTINT - 3291 CLP MVP 1 Renewa'!B108+#REF!+#REF!+'CBPTINTK-3069 Project Guardian'!B108+'CBPTINTK-3517 Property Insuranc'!B108+'CBPTINTK-4356 CB Enhancements A'!B108+'CBPTINTK-3796 CLD &amp; Repricing L'!B108+'CBPTINTK-23365 LCMS Funding Con'!B108+'PBBT-13832 DM Relationship 4,5,'!B108+'PBBT-23572 RESL POD Shift Left'!B108+'CBPTINTK-17774 Annual Mortgage '!B108+'Securitization November 2025 Re'!B108+'CBPTINTK-2616 Renewal Due Dilig'!B108+'CBPTINTK-23406 Upgrade DDGS Sma'!B108+'CBPTINTK-4105 Client at Risk CR'!B108+'CBPTINTK-4313 Reverse Franchisi'!B108+'PBBT-22623 Eliminate IMDS Depen'!B108+'PBBT-22425 Excalibur LFA_PBBT-2'!B108+'PBBT-23552 Excalibur to RCDW Mo'!B108+'PBPT16393 Credit Maintenance Pl'!B108+'CBPTINTK-3965 - KC Optimization'!B108+'CBPTINTK-2800 IDP CA Foundation'!B108)</f>
        <v>#REF!</v>
      </c>
      <c r="C92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43'!C108+'ATM PH Release 37.5'!C108+'CBPTINT - 3291 CLP MVP 1 Renewa'!C108+#REF!+#REF!+'CBPTINTK-3069 Project Guardian'!C108+'CBPTINTK-3517 Property Insuranc'!C108+'CBPTINTK-4356 CB Enhancements A'!C108+'CBPTINTK-3796 CLD &amp; Repricing L'!C108+'CBPTINTK-23365 LCMS Funding Con'!C108+'PBBT-13832 DM Relationship 4,5,'!C108+'PBBT-23572 RESL POD Shift Left'!C108+'CBPTINTK-17774 Annual Mortgage '!C108+'Securitization November 2025 Re'!C108+'CBPTINTK-2616 Renewal Due Dilig'!C108+'CBPTINTK-23406 Upgrade DDGS Sma'!C108+'CBPTINTK-4105 Client at Risk CR'!C108+'CBPTINTK-4313 Reverse Franchisi'!C108+'PBBT-22623 Eliminate IMDS Depen'!C108+'PBBT-22425 Excalibur LFA_PBBT-2'!C108+'PBBT-23552 Excalibur to RCDW Mo'!C108+'PBPT16393 Credit Maintenance Pl'!C108+'CBPTINTK-3965 - KC Optimization'!C108+'CBPTINTK-2800 IDP CA Foundation'!C108)</f>
        <v>#REF!</v>
      </c>
      <c r="D92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43'!D108+'ATM PH Release 37.5'!D108+'CBPTINT - 3291 CLP MVP 1 Renewa'!D108+#REF!+#REF!+'CBPTINTK-3069 Project Guardian'!D108+'CBPTINTK-3517 Property Insuranc'!D108+'CBPTINTK-4356 CB Enhancements A'!D108+'CBPTINTK-3796 CLD &amp; Repricing L'!D108+'CBPTINTK-23365 LCMS Funding Con'!D108+'PBBT-13832 DM Relationship 4,5,'!D108+'PBBT-23572 RESL POD Shift Left'!D108+'CBPTINTK-17774 Annual Mortgage '!D108+'Securitization November 2025 Re'!D108+'CBPTINTK-2616 Renewal Due Dilig'!D108+'CBPTINTK-23406 Upgrade DDGS Sma'!D108+'CBPTINTK-4105 Client at Risk CR'!D108+'CBPTINTK-4313 Reverse Franchisi'!D108+'PBBT-22623 Eliminate IMDS Depen'!D108+'PBBT-22425 Excalibur LFA_PBBT-2'!D108+'PBBT-23552 Excalibur to RCDW Mo'!D108+'PBPT16393 Credit Maintenance Pl'!D108+'CBPTINTK-3965 - KC Optimization'!D108+'CBPTINTK-2800 IDP CA Foundation'!D108)</f>
        <v>#REF!</v>
      </c>
      <c r="E92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43'!E108+'ATM PH Release 37.5'!E108+'CBPTINT - 3291 CLP MVP 1 Renewa'!E108+#REF!+#REF!+'CBPTINTK-3069 Project Guardian'!E108+'CBPTINTK-3517 Property Insuranc'!E108+'CBPTINTK-4356 CB Enhancements A'!E108+'CBPTINTK-3796 CLD &amp; Repricing L'!E108+'CBPTINTK-23365 LCMS Funding Con'!E108+'PBBT-13832 DM Relationship 4,5,'!E108+'PBBT-23572 RESL POD Shift Left'!E108+'CBPTINTK-17774 Annual Mortgage '!E108+'Securitization November 2025 Re'!E108+'CBPTINTK-2616 Renewal Due Dilig'!E108+'CBPTINTK-23406 Upgrade DDGS Sma'!E108+'CBPTINTK-4105 Client at Risk CR'!E108+'CBPTINTK-4313 Reverse Franchisi'!E108+'PBBT-22623 Eliminate IMDS Depen'!E108+'PBBT-22425 Excalibur LFA_PBBT-2'!E108+'PBBT-23552 Excalibur to RCDW Mo'!E108+'PBPT16393 Credit Maintenance Pl'!E108+'CBPTINTK-3965 - KC Optimization'!E108+'CBPTINTK-2800 IDP CA Foundation'!E108)</f>
        <v>#REF!</v>
      </c>
      <c r="F92" s="72" t="e">
        <f t="shared" si="0"/>
        <v>#REF!</v>
      </c>
      <c r="G92" s="26"/>
      <c r="H92" s="26"/>
      <c r="I92" s="26"/>
      <c r="J92" s="26"/>
      <c r="K92" s="26"/>
      <c r="L92" s="26"/>
      <c r="M92" s="52"/>
      <c r="N92" s="52"/>
      <c r="O92" s="53"/>
    </row>
    <row r="93" spans="1:15">
      <c r="A93" s="69" t="s">
        <v>153</v>
      </c>
      <c r="B93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43'!B109+'ATM PH Release 37.5'!B109+'CBPTINT - 3291 CLP MVP 1 Renewa'!B109+#REF!+#REF!+'CBPTINTK-3069 Project Guardian'!B109+'CBPTINTK-3517 Property Insuranc'!B109+'CBPTINTK-4356 CB Enhancements A'!B109+'CBPTINTK-3796 CLD &amp; Repricing L'!B109+'CBPTINTK-23365 LCMS Funding Con'!B109+'PBBT-13832 DM Relationship 4,5,'!B109+'PBBT-23572 RESL POD Shift Left'!B109+'CBPTINTK-17774 Annual Mortgage '!B109+'Securitization November 2025 Re'!B109+'CBPTINTK-2616 Renewal Due Dilig'!B109+'CBPTINTK-23406 Upgrade DDGS Sma'!B109+'CBPTINTK-4105 Client at Risk CR'!B109+'CBPTINTK-4313 Reverse Franchisi'!B109+'PBBT-22623 Eliminate IMDS Depen'!B109+'PBBT-22425 Excalibur LFA_PBBT-2'!B109+'PBBT-23552 Excalibur to RCDW Mo'!B109+'PBPT16393 Credit Maintenance Pl'!B109+'CBPTINTK-3965 - KC Optimization'!B109+'CBPTINTK-2800 IDP CA Foundation'!B109)</f>
        <v>#REF!</v>
      </c>
      <c r="C93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43'!C109+'ATM PH Release 37.5'!C109+'CBPTINT - 3291 CLP MVP 1 Renewa'!C109+#REF!+#REF!+'CBPTINTK-3069 Project Guardian'!C109+'CBPTINTK-3517 Property Insuranc'!C109+'CBPTINTK-4356 CB Enhancements A'!C109+'CBPTINTK-3796 CLD &amp; Repricing L'!C109+'CBPTINTK-23365 LCMS Funding Con'!C109+'PBBT-13832 DM Relationship 4,5,'!C109+'PBBT-23572 RESL POD Shift Left'!C109+'CBPTINTK-17774 Annual Mortgage '!C109+'Securitization November 2025 Re'!C109+'CBPTINTK-2616 Renewal Due Dilig'!C109+'CBPTINTK-23406 Upgrade DDGS Sma'!C109+'CBPTINTK-4105 Client at Risk CR'!C109+'CBPTINTK-4313 Reverse Franchisi'!C109+'PBBT-22623 Eliminate IMDS Depen'!C109+'PBBT-22425 Excalibur LFA_PBBT-2'!C109+'PBBT-23552 Excalibur to RCDW Mo'!C109+'PBPT16393 Credit Maintenance Pl'!C109+'CBPTINTK-3965 - KC Optimization'!C109+'CBPTINTK-2800 IDP CA Foundation'!C109)</f>
        <v>#REF!</v>
      </c>
      <c r="D93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43'!D109+'ATM PH Release 37.5'!D109+'CBPTINT - 3291 CLP MVP 1 Renewa'!D109+#REF!+#REF!+'CBPTINTK-3069 Project Guardian'!D109+'CBPTINTK-3517 Property Insuranc'!D109+'CBPTINTK-4356 CB Enhancements A'!D109+'CBPTINTK-3796 CLD &amp; Repricing L'!D109+'CBPTINTK-23365 LCMS Funding Con'!D109+'PBBT-13832 DM Relationship 4,5,'!D109+'PBBT-23572 RESL POD Shift Left'!D109+'CBPTINTK-17774 Annual Mortgage '!D109+'Securitization November 2025 Re'!D109+'CBPTINTK-2616 Renewal Due Dilig'!D109+'CBPTINTK-23406 Upgrade DDGS Sma'!D109+'CBPTINTK-4105 Client at Risk CR'!D109+'CBPTINTK-4313 Reverse Franchisi'!D109+'PBBT-22623 Eliminate IMDS Depen'!D109+'PBBT-22425 Excalibur LFA_PBBT-2'!D109+'PBBT-23552 Excalibur to RCDW Mo'!D109+'PBPT16393 Credit Maintenance Pl'!D109+'CBPTINTK-3965 - KC Optimization'!D109+'CBPTINTK-2800 IDP CA Foundation'!D109)</f>
        <v>#REF!</v>
      </c>
      <c r="E93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43'!E109+'ATM PH Release 37.5'!E109+'CBPTINT - 3291 CLP MVP 1 Renewa'!E109+#REF!+#REF!+'CBPTINTK-3069 Project Guardian'!E109+'CBPTINTK-3517 Property Insuranc'!E109+'CBPTINTK-4356 CB Enhancements A'!E109+'CBPTINTK-3796 CLD &amp; Repricing L'!E109+'CBPTINTK-23365 LCMS Funding Con'!E109+'PBBT-13832 DM Relationship 4,5,'!E109+'PBBT-23572 RESL POD Shift Left'!E109+'CBPTINTK-17774 Annual Mortgage '!E109+'Securitization November 2025 Re'!E109+'CBPTINTK-2616 Renewal Due Dilig'!E109+'CBPTINTK-23406 Upgrade DDGS Sma'!E109+'CBPTINTK-4105 Client at Risk CR'!E109+'CBPTINTK-4313 Reverse Franchisi'!E109+'PBBT-22623 Eliminate IMDS Depen'!E109+'PBBT-22425 Excalibur LFA_PBBT-2'!E109+'PBBT-23552 Excalibur to RCDW Mo'!E109+'PBPT16393 Credit Maintenance Pl'!E109+'CBPTINTK-3965 - KC Optimization'!E109+'CBPTINTK-2800 IDP CA Foundation'!E109)</f>
        <v>#REF!</v>
      </c>
      <c r="F93" s="72" t="e">
        <f t="shared" si="0"/>
        <v>#REF!</v>
      </c>
      <c r="G93" s="26"/>
      <c r="H93" s="26"/>
      <c r="I93" s="26"/>
      <c r="J93" s="26"/>
      <c r="K93" s="26"/>
      <c r="L93" s="26"/>
      <c r="M93" s="52"/>
      <c r="N93" s="52"/>
      <c r="O93" s="53"/>
    </row>
    <row r="94" spans="1:15">
      <c r="A94" s="69" t="s">
        <v>154</v>
      </c>
      <c r="B94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43'!B110+'ATM PH Release 37.5'!B110+'CBPTINT - 3291 CLP MVP 1 Renewa'!B110+#REF!+#REF!+'CBPTINTK-3069 Project Guardian'!B110+'CBPTINTK-3517 Property Insuranc'!B110+'CBPTINTK-4356 CB Enhancements A'!B110+'CBPTINTK-3796 CLD &amp; Repricing L'!B110+'CBPTINTK-23365 LCMS Funding Con'!B110+'PBBT-13832 DM Relationship 4,5,'!B110+'PBBT-23572 RESL POD Shift Left'!B110+'CBPTINTK-17774 Annual Mortgage '!B110+'Securitization November 2025 Re'!B110+'CBPTINTK-2616 Renewal Due Dilig'!B110+'CBPTINTK-23406 Upgrade DDGS Sma'!B110+'CBPTINTK-4105 Client at Risk CR'!B110+'CBPTINTK-4313 Reverse Franchisi'!B110+'PBBT-22623 Eliminate IMDS Depen'!B110+'PBBT-22425 Excalibur LFA_PBBT-2'!B110+'PBBT-23552 Excalibur to RCDW Mo'!B110+'PBPT16393 Credit Maintenance Pl'!B110+'CBPTINTK-3965 - KC Optimization'!B110+'CBPTINTK-2800 IDP CA Foundation'!B110)</f>
        <v>#REF!</v>
      </c>
      <c r="C94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43'!C110+'ATM PH Release 37.5'!C110+'CBPTINT - 3291 CLP MVP 1 Renewa'!C110+#REF!+#REF!+'CBPTINTK-3069 Project Guardian'!C110+'CBPTINTK-3517 Property Insuranc'!C110+'CBPTINTK-4356 CB Enhancements A'!C110+'CBPTINTK-3796 CLD &amp; Repricing L'!C110+'CBPTINTK-23365 LCMS Funding Con'!C110+'PBBT-13832 DM Relationship 4,5,'!C110+'PBBT-23572 RESL POD Shift Left'!C110+'CBPTINTK-17774 Annual Mortgage '!C110+'Securitization November 2025 Re'!C110+'CBPTINTK-2616 Renewal Due Dilig'!C110+'CBPTINTK-23406 Upgrade DDGS Sma'!C110+'CBPTINTK-4105 Client at Risk CR'!C110+'CBPTINTK-4313 Reverse Franchisi'!C110+'PBBT-22623 Eliminate IMDS Depen'!C110+'PBBT-22425 Excalibur LFA_PBBT-2'!C110+'PBBT-23552 Excalibur to RCDW Mo'!C110+'PBPT16393 Credit Maintenance Pl'!C110+'CBPTINTK-3965 - KC Optimization'!C110+'CBPTINTK-2800 IDP CA Foundation'!C110)</f>
        <v>#REF!</v>
      </c>
      <c r="D94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43'!D110+'ATM PH Release 37.5'!D110+'CBPTINT - 3291 CLP MVP 1 Renewa'!D110+#REF!+#REF!+'CBPTINTK-3069 Project Guardian'!D110+'CBPTINTK-3517 Property Insuranc'!D110+'CBPTINTK-4356 CB Enhancements A'!D110+'CBPTINTK-3796 CLD &amp; Repricing L'!D110+'CBPTINTK-23365 LCMS Funding Con'!D110+'PBBT-13832 DM Relationship 4,5,'!D110+'PBBT-23572 RESL POD Shift Left'!D110+'CBPTINTK-17774 Annual Mortgage '!D110+'Securitization November 2025 Re'!D110+'CBPTINTK-2616 Renewal Due Dilig'!D110+'CBPTINTK-23406 Upgrade DDGS Sma'!D110+'CBPTINTK-4105 Client at Risk CR'!D110+'CBPTINTK-4313 Reverse Franchisi'!D110+'PBBT-22623 Eliminate IMDS Depen'!D110+'PBBT-22425 Excalibur LFA_PBBT-2'!D110+'PBBT-23552 Excalibur to RCDW Mo'!D110+'PBPT16393 Credit Maintenance Pl'!D110+'CBPTINTK-3965 - KC Optimization'!D110+'CBPTINTK-2800 IDP CA Foundation'!D110)</f>
        <v>#REF!</v>
      </c>
      <c r="E94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43'!E110+'ATM PH Release 37.5'!E110+'CBPTINT - 3291 CLP MVP 1 Renewa'!E110+#REF!+#REF!+'CBPTINTK-3069 Project Guardian'!E110+'CBPTINTK-3517 Property Insuranc'!E110+'CBPTINTK-4356 CB Enhancements A'!E110+'CBPTINTK-3796 CLD &amp; Repricing L'!E110+'CBPTINTK-23365 LCMS Funding Con'!E110+'PBBT-13832 DM Relationship 4,5,'!E110+'PBBT-23572 RESL POD Shift Left'!E110+'CBPTINTK-17774 Annual Mortgage '!E110+'Securitization November 2025 Re'!E110+'CBPTINTK-2616 Renewal Due Dilig'!E110+'CBPTINTK-23406 Upgrade DDGS Sma'!E110+'CBPTINTK-4105 Client at Risk CR'!E110+'CBPTINTK-4313 Reverse Franchisi'!E110+'PBBT-22623 Eliminate IMDS Depen'!E110+'PBBT-22425 Excalibur LFA_PBBT-2'!E110+'PBBT-23552 Excalibur to RCDW Mo'!E110+'PBPT16393 Credit Maintenance Pl'!E110+'CBPTINTK-3965 - KC Optimization'!E110+'CBPTINTK-2800 IDP CA Foundation'!E110)</f>
        <v>#REF!</v>
      </c>
      <c r="F94" s="72" t="e">
        <f t="shared" si="0"/>
        <v>#REF!</v>
      </c>
      <c r="G94" s="26"/>
      <c r="H94" s="26"/>
      <c r="I94" s="26"/>
      <c r="J94" s="26"/>
      <c r="K94" s="26"/>
      <c r="L94" s="26"/>
      <c r="M94" s="52"/>
      <c r="N94" s="52"/>
      <c r="O94" s="53"/>
    </row>
    <row r="95" spans="1:15">
      <c r="A95" s="69" t="s">
        <v>155</v>
      </c>
      <c r="B95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43'!B111+'ATM PH Release 37.5'!B111+'CBPTINT - 3291 CLP MVP 1 Renewa'!B111+#REF!+#REF!+'CBPTINTK-3069 Project Guardian'!B111+'CBPTINTK-3517 Property Insuranc'!B111+'CBPTINTK-4356 CB Enhancements A'!B111+'CBPTINTK-3796 CLD &amp; Repricing L'!B111+'CBPTINTK-23365 LCMS Funding Con'!B111+'PBBT-13832 DM Relationship 4,5,'!B111+'PBBT-23572 RESL POD Shift Left'!B111+'CBPTINTK-17774 Annual Mortgage '!B111+'Securitization November 2025 Re'!B111+'CBPTINTK-2616 Renewal Due Dilig'!B111+'CBPTINTK-23406 Upgrade DDGS Sma'!B111+'CBPTINTK-4105 Client at Risk CR'!B111+'CBPTINTK-4313 Reverse Franchisi'!B111+'PBBT-22623 Eliminate IMDS Depen'!B111+'PBBT-22425 Excalibur LFA_PBBT-2'!B111+'PBBT-23552 Excalibur to RCDW Mo'!B111+'PBPT16393 Credit Maintenance Pl'!B111+'CBPTINTK-3965 - KC Optimization'!B111+'CBPTINTK-2800 IDP CA Foundation'!B111)</f>
        <v>#REF!</v>
      </c>
      <c r="C95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43'!C111+'ATM PH Release 37.5'!C111+'CBPTINT - 3291 CLP MVP 1 Renewa'!C111+#REF!+#REF!+'CBPTINTK-3069 Project Guardian'!C111+'CBPTINTK-3517 Property Insuranc'!C111+'CBPTINTK-4356 CB Enhancements A'!C111+'CBPTINTK-3796 CLD &amp; Repricing L'!C111+'CBPTINTK-23365 LCMS Funding Con'!C111+'PBBT-13832 DM Relationship 4,5,'!C111+'PBBT-23572 RESL POD Shift Left'!C111+'CBPTINTK-17774 Annual Mortgage '!C111+'Securitization November 2025 Re'!C111+'CBPTINTK-2616 Renewal Due Dilig'!C111+'CBPTINTK-23406 Upgrade DDGS Sma'!C111+'CBPTINTK-4105 Client at Risk CR'!C111+'CBPTINTK-4313 Reverse Franchisi'!C111+'PBBT-22623 Eliminate IMDS Depen'!C111+'PBBT-22425 Excalibur LFA_PBBT-2'!C111+'PBBT-23552 Excalibur to RCDW Mo'!C111+'PBPT16393 Credit Maintenance Pl'!C111+'CBPTINTK-3965 - KC Optimization'!C111+'CBPTINTK-2800 IDP CA Foundation'!C111)</f>
        <v>#REF!</v>
      </c>
      <c r="D95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43'!D111+'ATM PH Release 37.5'!D111+'CBPTINT - 3291 CLP MVP 1 Renewa'!D111+#REF!+#REF!+'CBPTINTK-3069 Project Guardian'!D111+'CBPTINTK-3517 Property Insuranc'!D111+'CBPTINTK-4356 CB Enhancements A'!D111+'CBPTINTK-3796 CLD &amp; Repricing L'!D111+'CBPTINTK-23365 LCMS Funding Con'!D111+'PBBT-13832 DM Relationship 4,5,'!D111+'PBBT-23572 RESL POD Shift Left'!D111+'CBPTINTK-17774 Annual Mortgage '!D111+'Securitization November 2025 Re'!D111+'CBPTINTK-2616 Renewal Due Dilig'!D111+'CBPTINTK-23406 Upgrade DDGS Sma'!D111+'CBPTINTK-4105 Client at Risk CR'!D111+'CBPTINTK-4313 Reverse Franchisi'!D111+'PBBT-22623 Eliminate IMDS Depen'!D111+'PBBT-22425 Excalibur LFA_PBBT-2'!D111+'PBBT-23552 Excalibur to RCDW Mo'!D111+'PBPT16393 Credit Maintenance Pl'!D111+'CBPTINTK-3965 - KC Optimization'!D111+'CBPTINTK-2800 IDP CA Foundation'!D111)</f>
        <v>#REF!</v>
      </c>
      <c r="E95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43'!E111+'ATM PH Release 37.5'!E111+'CBPTINT - 3291 CLP MVP 1 Renewa'!E111+#REF!+#REF!+'CBPTINTK-3069 Project Guardian'!E111+'CBPTINTK-3517 Property Insuranc'!E111+'CBPTINTK-4356 CB Enhancements A'!E111+'CBPTINTK-3796 CLD &amp; Repricing L'!E111+'CBPTINTK-23365 LCMS Funding Con'!E111+'PBBT-13832 DM Relationship 4,5,'!E111+'PBBT-23572 RESL POD Shift Left'!E111+'CBPTINTK-17774 Annual Mortgage '!E111+'Securitization November 2025 Re'!E111+'CBPTINTK-2616 Renewal Due Dilig'!E111+'CBPTINTK-23406 Upgrade DDGS Sma'!E111+'CBPTINTK-4105 Client at Risk CR'!E111+'CBPTINTK-4313 Reverse Franchisi'!E111+'PBBT-22623 Eliminate IMDS Depen'!E111+'PBBT-22425 Excalibur LFA_PBBT-2'!E111+'PBBT-23552 Excalibur to RCDW Mo'!E111+'PBPT16393 Credit Maintenance Pl'!E111+'CBPTINTK-3965 - KC Optimization'!E111+'CBPTINTK-2800 IDP CA Foundation'!E111)</f>
        <v>#REF!</v>
      </c>
      <c r="F95" s="72" t="e">
        <f t="shared" si="0"/>
        <v>#REF!</v>
      </c>
      <c r="G95" s="26"/>
      <c r="H95" s="26"/>
      <c r="I95" s="26"/>
      <c r="J95" s="26"/>
      <c r="K95" s="26"/>
      <c r="L95" s="26"/>
      <c r="M95" s="52"/>
      <c r="N95" s="52"/>
      <c r="O95" s="53"/>
    </row>
    <row r="96" spans="1:15">
      <c r="A96" s="69" t="s">
        <v>156</v>
      </c>
      <c r="B96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43'!B112+'ATM PH Release 37.5'!B112+'CBPTINT - 3291 CLP MVP 1 Renewa'!B112+#REF!+#REF!+'CBPTINTK-3069 Project Guardian'!B112+'CBPTINTK-3517 Property Insuranc'!B112+'CBPTINTK-4356 CB Enhancements A'!B112+'CBPTINTK-3796 CLD &amp; Repricing L'!B112+'CBPTINTK-23365 LCMS Funding Con'!B112+'PBBT-13832 DM Relationship 4,5,'!B112+'PBBT-23572 RESL POD Shift Left'!B112+'CBPTINTK-17774 Annual Mortgage '!B112+'Securitization November 2025 Re'!B112+'CBPTINTK-2616 Renewal Due Dilig'!B112+'CBPTINTK-23406 Upgrade DDGS Sma'!B112+'CBPTINTK-4105 Client at Risk CR'!B112+'CBPTINTK-4313 Reverse Franchisi'!B112+'PBBT-22623 Eliminate IMDS Depen'!B112+'PBBT-22425 Excalibur LFA_PBBT-2'!B112+'PBBT-23552 Excalibur to RCDW Mo'!B112+'PBPT16393 Credit Maintenance Pl'!B112+'CBPTINTK-3965 - KC Optimization'!B112+'CBPTINTK-2800 IDP CA Foundation'!B112)</f>
        <v>#REF!</v>
      </c>
      <c r="C96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43'!C112+'ATM PH Release 37.5'!C112+'CBPTINT - 3291 CLP MVP 1 Renewa'!C112+#REF!+#REF!+'CBPTINTK-3069 Project Guardian'!C112+'CBPTINTK-3517 Property Insuranc'!C112+'CBPTINTK-4356 CB Enhancements A'!C112+'CBPTINTK-3796 CLD &amp; Repricing L'!C112+'CBPTINTK-23365 LCMS Funding Con'!C112+'PBBT-13832 DM Relationship 4,5,'!C112+'PBBT-23572 RESL POD Shift Left'!C112+'CBPTINTK-17774 Annual Mortgage '!C112+'Securitization November 2025 Re'!C112+'CBPTINTK-2616 Renewal Due Dilig'!C112+'CBPTINTK-23406 Upgrade DDGS Sma'!C112+'CBPTINTK-4105 Client at Risk CR'!C112+'CBPTINTK-4313 Reverse Franchisi'!C112+'PBBT-22623 Eliminate IMDS Depen'!C112+'PBBT-22425 Excalibur LFA_PBBT-2'!C112+'PBBT-23552 Excalibur to RCDW Mo'!C112+'PBPT16393 Credit Maintenance Pl'!C112+'CBPTINTK-3965 - KC Optimization'!C112+'CBPTINTK-2800 IDP CA Foundation'!C112)</f>
        <v>#REF!</v>
      </c>
      <c r="D96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43'!D112+'ATM PH Release 37.5'!D112+'CBPTINT - 3291 CLP MVP 1 Renewa'!D112+#REF!+#REF!+'CBPTINTK-3069 Project Guardian'!D112+'CBPTINTK-3517 Property Insuranc'!D112+'CBPTINTK-4356 CB Enhancements A'!D112+'CBPTINTK-3796 CLD &amp; Repricing L'!D112+'CBPTINTK-23365 LCMS Funding Con'!D112+'PBBT-13832 DM Relationship 4,5,'!D112+'PBBT-23572 RESL POD Shift Left'!D112+'CBPTINTK-17774 Annual Mortgage '!D112+'Securitization November 2025 Re'!D112+'CBPTINTK-2616 Renewal Due Dilig'!D112+'CBPTINTK-23406 Upgrade DDGS Sma'!D112+'CBPTINTK-4105 Client at Risk CR'!D112+'CBPTINTK-4313 Reverse Franchisi'!D112+'PBBT-22623 Eliminate IMDS Depen'!D112+'PBBT-22425 Excalibur LFA_PBBT-2'!D112+'PBBT-23552 Excalibur to RCDW Mo'!D112+'PBPT16393 Credit Maintenance Pl'!D112+'CBPTINTK-3965 - KC Optimization'!D112+'CBPTINTK-2800 IDP CA Foundation'!D112)</f>
        <v>#REF!</v>
      </c>
      <c r="E96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43'!E112+'ATM PH Release 37.5'!E112+'CBPTINT - 3291 CLP MVP 1 Renewa'!E112+#REF!+#REF!+'CBPTINTK-3069 Project Guardian'!E112+'CBPTINTK-3517 Property Insuranc'!E112+'CBPTINTK-4356 CB Enhancements A'!E112+'CBPTINTK-3796 CLD &amp; Repricing L'!E112+'CBPTINTK-23365 LCMS Funding Con'!E112+'PBBT-13832 DM Relationship 4,5,'!E112+'PBBT-23572 RESL POD Shift Left'!E112+'CBPTINTK-17774 Annual Mortgage '!E112+'Securitization November 2025 Re'!E112+'CBPTINTK-2616 Renewal Due Dilig'!E112+'CBPTINTK-23406 Upgrade DDGS Sma'!E112+'CBPTINTK-4105 Client at Risk CR'!E112+'CBPTINTK-4313 Reverse Franchisi'!E112+'PBBT-22623 Eliminate IMDS Depen'!E112+'PBBT-22425 Excalibur LFA_PBBT-2'!E112+'PBBT-23552 Excalibur to RCDW Mo'!E112+'PBPT16393 Credit Maintenance Pl'!E112+'CBPTINTK-3965 - KC Optimization'!E112+'CBPTINTK-2800 IDP CA Foundation'!E112)</f>
        <v>#REF!</v>
      </c>
      <c r="F96" s="72" t="e">
        <f t="shared" si="0"/>
        <v>#REF!</v>
      </c>
      <c r="G96" s="26"/>
      <c r="H96" s="26"/>
      <c r="I96" s="26"/>
      <c r="J96" s="26"/>
      <c r="K96" s="26"/>
      <c r="L96" s="26"/>
      <c r="M96" s="52"/>
      <c r="N96" s="52"/>
      <c r="O96" s="53"/>
    </row>
    <row r="97" spans="1:16">
      <c r="A97" s="69" t="s">
        <v>157</v>
      </c>
      <c r="B97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43'!B113+'ATM PH Release 37.5'!B113+'CBPTINT - 3291 CLP MVP 1 Renewa'!B113+#REF!+#REF!+'CBPTINTK-3069 Project Guardian'!B113+'CBPTINTK-3517 Property Insuranc'!B113+'CBPTINTK-4356 CB Enhancements A'!B113+'CBPTINTK-3796 CLD &amp; Repricing L'!B113+'CBPTINTK-23365 LCMS Funding Con'!B113+'PBBT-13832 DM Relationship 4,5,'!B113+'PBBT-23572 RESL POD Shift Left'!B113+'CBPTINTK-17774 Annual Mortgage '!B113+'Securitization November 2025 Re'!B113+'CBPTINTK-2616 Renewal Due Dilig'!B113+'CBPTINTK-23406 Upgrade DDGS Sma'!B113+'CBPTINTK-4105 Client at Risk CR'!B113+'CBPTINTK-4313 Reverse Franchisi'!B113+'PBBT-22623 Eliminate IMDS Depen'!B113+'PBBT-22425 Excalibur LFA_PBBT-2'!B113+'PBBT-23552 Excalibur to RCDW Mo'!B113+'PBPT16393 Credit Maintenance Pl'!B113+'CBPTINTK-3965 - KC Optimization'!B113+'CBPTINTK-2800 IDP CA Foundation'!B113)</f>
        <v>#REF!</v>
      </c>
      <c r="C97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43'!C113+'ATM PH Release 37.5'!C113+'CBPTINT - 3291 CLP MVP 1 Renewa'!C113+#REF!+#REF!+'CBPTINTK-3069 Project Guardian'!C113+'CBPTINTK-3517 Property Insuranc'!C113+'CBPTINTK-4356 CB Enhancements A'!C113+'CBPTINTK-3796 CLD &amp; Repricing L'!C113+'CBPTINTK-23365 LCMS Funding Con'!C113+'PBBT-13832 DM Relationship 4,5,'!C113+'PBBT-23572 RESL POD Shift Left'!C113+'CBPTINTK-17774 Annual Mortgage '!C113+'Securitization November 2025 Re'!C113+'CBPTINTK-2616 Renewal Due Dilig'!C113+'CBPTINTK-23406 Upgrade DDGS Sma'!C113+'CBPTINTK-4105 Client at Risk CR'!C113+'CBPTINTK-4313 Reverse Franchisi'!C113+'PBBT-22623 Eliminate IMDS Depen'!C113+'PBBT-22425 Excalibur LFA_PBBT-2'!C113+'PBBT-23552 Excalibur to RCDW Mo'!C113+'PBPT16393 Credit Maintenance Pl'!C113+'CBPTINTK-3965 - KC Optimization'!C113+'CBPTINTK-2800 IDP CA Foundation'!C113)</f>
        <v>#REF!</v>
      </c>
      <c r="D97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43'!D113+'ATM PH Release 37.5'!D113+'CBPTINT - 3291 CLP MVP 1 Renewa'!D113+#REF!+#REF!+'CBPTINTK-3069 Project Guardian'!D113+'CBPTINTK-3517 Property Insuranc'!D113+'CBPTINTK-4356 CB Enhancements A'!D113+'CBPTINTK-3796 CLD &amp; Repricing L'!D113+'CBPTINTK-23365 LCMS Funding Con'!D113+'PBBT-13832 DM Relationship 4,5,'!D113+'PBBT-23572 RESL POD Shift Left'!D113+'CBPTINTK-17774 Annual Mortgage '!D113+'Securitization November 2025 Re'!D113+'CBPTINTK-2616 Renewal Due Dilig'!D113+'CBPTINTK-23406 Upgrade DDGS Sma'!D113+'CBPTINTK-4105 Client at Risk CR'!D113+'CBPTINTK-4313 Reverse Franchisi'!D113+'PBBT-22623 Eliminate IMDS Depen'!D113+'PBBT-22425 Excalibur LFA_PBBT-2'!D113+'PBBT-23552 Excalibur to RCDW Mo'!D113+'PBPT16393 Credit Maintenance Pl'!D113+'CBPTINTK-3965 - KC Optimization'!D113+'CBPTINTK-2800 IDP CA Foundation'!D113)</f>
        <v>#REF!</v>
      </c>
      <c r="E97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43'!E113+'ATM PH Release 37.5'!E113+'CBPTINT - 3291 CLP MVP 1 Renewa'!E113+#REF!+#REF!+'CBPTINTK-3069 Project Guardian'!E113+'CBPTINTK-3517 Property Insuranc'!E113+'CBPTINTK-4356 CB Enhancements A'!E113+'CBPTINTK-3796 CLD &amp; Repricing L'!E113+'CBPTINTK-23365 LCMS Funding Con'!E113+'PBBT-13832 DM Relationship 4,5,'!E113+'PBBT-23572 RESL POD Shift Left'!E113+'CBPTINTK-17774 Annual Mortgage '!E113+'Securitization November 2025 Re'!E113+'CBPTINTK-2616 Renewal Due Dilig'!E113+'CBPTINTK-23406 Upgrade DDGS Sma'!E113+'CBPTINTK-4105 Client at Risk CR'!E113+'CBPTINTK-4313 Reverse Franchisi'!E113+'PBBT-22623 Eliminate IMDS Depen'!E113+'PBBT-22425 Excalibur LFA_PBBT-2'!E113+'PBBT-23552 Excalibur to RCDW Mo'!E113+'PBPT16393 Credit Maintenance Pl'!E113+'CBPTINTK-3965 - KC Optimization'!E113+'CBPTINTK-2800 IDP CA Foundation'!E113)</f>
        <v>#REF!</v>
      </c>
      <c r="F97" s="72" t="e">
        <f t="shared" si="0"/>
        <v>#REF!</v>
      </c>
      <c r="G97" s="26"/>
      <c r="H97" s="26"/>
      <c r="I97" s="26"/>
      <c r="J97" s="26"/>
      <c r="K97" s="26"/>
      <c r="L97" s="26"/>
      <c r="M97" s="52"/>
      <c r="N97" s="52"/>
      <c r="O97" s="53"/>
      <c r="P97" s="51"/>
    </row>
    <row r="98" spans="1:16">
      <c r="A98" s="69" t="s">
        <v>141</v>
      </c>
      <c r="B98" s="70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43'!B114+'ATM PH Release 37.5'!B114+'CBPTINT - 3291 CLP MVP 1 Renewa'!B114+#REF!+#REF!+'CBPTINTK-3069 Project Guardian'!B114+'CBPTINTK-3517 Property Insuranc'!B114+'CBPTINTK-4356 CB Enhancements A'!B114+'CBPTINTK-3796 CLD &amp; Repricing L'!B114+'CBPTINTK-23365 LCMS Funding Con'!B114+'PBBT-13832 DM Relationship 4,5,'!B114+'PBBT-23572 RESL POD Shift Left'!B114+'CBPTINTK-17774 Annual Mortgage '!B114+'Securitization November 2025 Re'!B114+'CBPTINTK-2616 Renewal Due Dilig'!B114+'CBPTINTK-23406 Upgrade DDGS Sma'!B114+'CBPTINTK-4105 Client at Risk CR'!B114+'CBPTINTK-4313 Reverse Franchisi'!B114+'PBBT-22623 Eliminate IMDS Depen'!B114+'PBBT-22425 Excalibur LFA_PBBT-2'!B114+'PBBT-23552 Excalibur to RCDW Mo'!B114+'PBPT16393 Credit Maintenance Pl'!B114+'CBPTINTK-3965 - KC Optimization'!B114+'CBPTINTK-2800 IDP CA Foundation'!B114)</f>
        <v>#REF!</v>
      </c>
      <c r="C98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43'!C114+'ATM PH Release 37.5'!C114+'CBPTINT - 3291 CLP MVP 1 Renewa'!C114+#REF!+#REF!+'CBPTINTK-3069 Project Guardian'!C114+'CBPTINTK-3517 Property Insuranc'!C114+'CBPTINTK-4356 CB Enhancements A'!C114+'CBPTINTK-3796 CLD &amp; Repricing L'!C114+'CBPTINTK-23365 LCMS Funding Con'!C114+'PBBT-13832 DM Relationship 4,5,'!C114+'PBBT-23572 RESL POD Shift Left'!C114+'CBPTINTK-17774 Annual Mortgage '!C114+'Securitization November 2025 Re'!C114+'CBPTINTK-2616 Renewal Due Dilig'!C114+'CBPTINTK-23406 Upgrade DDGS Sma'!C114+'CBPTINTK-4105 Client at Risk CR'!C114+'CBPTINTK-4313 Reverse Franchisi'!C114+'PBBT-22623 Eliminate IMDS Depen'!C114+'PBBT-22425 Excalibur LFA_PBBT-2'!C114+'PBBT-23552 Excalibur to RCDW Mo'!C114+'PBPT16393 Credit Maintenance Pl'!C114+'CBPTINTK-3965 - KC Optimization'!C114+'CBPTINTK-2800 IDP CA Foundation'!C114)</f>
        <v>#REF!</v>
      </c>
      <c r="D98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43'!D114+'ATM PH Release 37.5'!D114+'CBPTINT - 3291 CLP MVP 1 Renewa'!D114+#REF!+#REF!+'CBPTINTK-3069 Project Guardian'!D114+'CBPTINTK-3517 Property Insuranc'!D114+'CBPTINTK-4356 CB Enhancements A'!D114+'CBPTINTK-3796 CLD &amp; Repricing L'!D114+'CBPTINTK-23365 LCMS Funding Con'!D114+'PBBT-13832 DM Relationship 4,5,'!D114+'PBBT-23572 RESL POD Shift Left'!D114+'CBPTINTK-17774 Annual Mortgage '!D114+'Securitization November 2025 Re'!D114+'CBPTINTK-2616 Renewal Due Dilig'!D114+'CBPTINTK-23406 Upgrade DDGS Sma'!D114+'CBPTINTK-4105 Client at Risk CR'!D114+'CBPTINTK-4313 Reverse Franchisi'!D114+'PBBT-22623 Eliminate IMDS Depen'!D114+'PBBT-22425 Excalibur LFA_PBBT-2'!D114+'PBBT-23552 Excalibur to RCDW Mo'!D114+'PBPT16393 Credit Maintenance Pl'!D114+'CBPTINTK-3965 - KC Optimization'!D114+'CBPTINTK-2800 IDP CA Foundation'!D114)</f>
        <v>#REF!</v>
      </c>
      <c r="E98" s="71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43'!E114+'ATM PH Release 37.5'!E114+'CBPTINT - 3291 CLP MVP 1 Renewa'!E114+#REF!+#REF!+'CBPTINTK-3069 Project Guardian'!E114+'CBPTINTK-3517 Property Insuranc'!E114+'CBPTINTK-4356 CB Enhancements A'!E114+'CBPTINTK-3796 CLD &amp; Repricing L'!E114+'CBPTINTK-23365 LCMS Funding Con'!E114+'PBBT-13832 DM Relationship 4,5,'!E114+'PBBT-23572 RESL POD Shift Left'!E114+'CBPTINTK-17774 Annual Mortgage '!E114+'Securitization November 2025 Re'!E114+'CBPTINTK-2616 Renewal Due Dilig'!E114+'CBPTINTK-23406 Upgrade DDGS Sma'!E114+'CBPTINTK-4105 Client at Risk CR'!E114+'CBPTINTK-4313 Reverse Franchisi'!E114+'PBBT-22623 Eliminate IMDS Depen'!E114+'PBBT-22425 Excalibur LFA_PBBT-2'!E114+'PBBT-23552 Excalibur to RCDW Mo'!E114+'PBPT16393 Credit Maintenance Pl'!E114+'CBPTINTK-3965 - KC Optimization'!E114+'CBPTINTK-2800 IDP CA Foundation'!E114)</f>
        <v>#REF!</v>
      </c>
      <c r="F98" s="72" t="e">
        <f t="shared" si="0"/>
        <v>#REF!</v>
      </c>
      <c r="G98" s="26"/>
      <c r="H98" s="26"/>
      <c r="I98" s="26"/>
      <c r="J98" s="26"/>
      <c r="K98" s="26"/>
      <c r="L98" s="26"/>
      <c r="M98" s="52"/>
      <c r="N98" s="52"/>
      <c r="O98" s="53"/>
      <c r="P98" s="51"/>
    </row>
    <row r="99" spans="1:16">
      <c r="A99" s="69" t="s">
        <v>149</v>
      </c>
      <c r="B99" s="72" t="e">
        <f>SUM(B90:B98)</f>
        <v>#REF!</v>
      </c>
      <c r="C99" s="72" t="e">
        <f t="shared" ref="C99:E99" si="1">SUM(C90:C98)</f>
        <v>#REF!</v>
      </c>
      <c r="D99" s="72" t="e">
        <f t="shared" si="1"/>
        <v>#REF!</v>
      </c>
      <c r="E99" s="72" t="e">
        <f t="shared" si="1"/>
        <v>#REF!</v>
      </c>
      <c r="F99" s="72" t="e">
        <f>SUM(F90:F98)</f>
        <v>#REF!</v>
      </c>
      <c r="G99" s="26"/>
      <c r="H99" s="26"/>
      <c r="I99" s="26"/>
      <c r="J99" s="26"/>
      <c r="K99" s="26"/>
      <c r="L99" s="26"/>
      <c r="M99" s="52"/>
      <c r="N99" s="52"/>
      <c r="O99" s="53"/>
      <c r="P99" s="51"/>
    </row>
    <row r="100" spans="1:16">
      <c r="A100" s="5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52"/>
      <c r="N100" s="52"/>
      <c r="O100" s="53"/>
      <c r="P100" s="51"/>
    </row>
    <row r="101" spans="1:16">
      <c r="A101" s="5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52"/>
      <c r="N101" s="52"/>
      <c r="O101" s="53"/>
      <c r="P101" s="51"/>
    </row>
    <row r="102" spans="1:16">
      <c r="A102" s="155" t="s">
        <v>158</v>
      </c>
      <c r="B102" s="15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52"/>
      <c r="N102" s="52"/>
      <c r="O102" s="53"/>
      <c r="P102" s="51"/>
    </row>
    <row r="103" spans="1:16">
      <c r="A103" s="10" t="s">
        <v>159</v>
      </c>
      <c r="B103" s="10" t="s">
        <v>160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52"/>
      <c r="N103" s="52"/>
      <c r="O103" s="53"/>
      <c r="P103" s="51"/>
    </row>
    <row r="104" spans="1:16">
      <c r="A104" s="7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43'!A120+'ATM PH Release 37.5'!A120+'CBPTINT - 3291 CLP MVP 1 Renewa'!A120+#REF!+#REF!+'CBPTINTK-3069 Project Guardian'!A120+'CBPTINTK-3517 Property Insuranc'!A120+'CBPTINTK-4356 CB Enhancements A'!A120+'CBPTINTK-3796 CLD &amp; Repricing L'!A120+'CBPTINTK-23365 LCMS Funding Con'!A120+'PBBT-13832 DM Relationship 4,5,'!A120+'PBBT-23572 RESL POD Shift Left'!A120+'CBPTINTK-17774 Annual Mortgage '!A120+'Securitization November 2025 Re'!A120+'CBPTINTK-2616 Renewal Due Dilig'!A120+'CBPTINTK-23406 Upgrade DDGS Sma'!A120+'CBPTINTK-4105 Client at Risk CR'!A120+'CBPTINTK-4313 Reverse Franchisi'!A120+'PBBT-22623 Eliminate IMDS Depen'!A120+'PBBT-22425 Excalibur LFA_PBBT-2'!A120+'PBBT-23552 Excalibur to RCDW Mo'!A120+'PBPT16393 Credit Maintenance Pl'!A120+'CBPTINTK-3965 - KC Optimization'!A120+'CBPTINTK-2800 IDP CA Foundation'!A120)</f>
        <v>#REF!</v>
      </c>
      <c r="B104" s="7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43'!B129+'ATM PH Release 37.5'!B129+'CBPTINT - 3291 CLP MVP 1 Renewa'!B129+#REF!+#REF!+'CBPTINTK-3069 Project Guardian'!B129+'CBPTINTK-3517 Property Insuranc'!B129+'CBPTINTK-4356 CB Enhancements A'!B129+'CBPTINTK-3796 CLD &amp; Repricing L'!B129+'CBPTINTK-23365 LCMS Funding Con'!B129+'PBBT-13832 DM Relationship 4,5,'!B129+'PBBT-23572 RESL POD Shift Left'!B129+'CBPTINTK-17774 Annual Mortgage '!B129+'Securitization November 2025 Re'!B129+'CBPTINTK-2616 Renewal Due Dilig'!B129+'CBPTINTK-23406 Upgrade DDGS Sma'!B129+'CBPTINTK-4105 Client at Risk CR'!B129+'CBPTINTK-4313 Reverse Franchisi'!B129+'PBBT-22623 Eliminate IMDS Depen'!B129+'PBBT-22425 Excalibur LFA_PBBT-2'!B129+'PBBT-23552 Excalibur to RCDW Mo'!B129+'PBPT16393 Credit Maintenance Pl'!B129+'CBPTINTK-3965 - KC Optimization'!B129+'CBPTINTK-2800 IDP CA Foundation'!B129)</f>
        <v>#REF!</v>
      </c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52"/>
      <c r="N104" s="52"/>
      <c r="O104" s="53"/>
      <c r="P104" s="51"/>
    </row>
    <row r="105" spans="1:16">
      <c r="A105" s="74"/>
      <c r="B105" s="74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52"/>
      <c r="N105" s="52"/>
      <c r="O105" s="53"/>
      <c r="P105" s="51" t="s">
        <v>91</v>
      </c>
    </row>
    <row r="106" spans="1:16">
      <c r="A106" s="74"/>
      <c r="B106" s="74"/>
      <c r="C106" s="26"/>
      <c r="D106" s="51"/>
      <c r="E106" s="26"/>
      <c r="F106" s="26"/>
      <c r="G106" s="26"/>
      <c r="H106" s="26"/>
      <c r="I106" s="26"/>
      <c r="J106" s="26"/>
      <c r="K106" s="26"/>
      <c r="L106" s="26"/>
      <c r="M106" s="52"/>
      <c r="N106" s="52"/>
      <c r="O106" s="53"/>
      <c r="P106" s="51"/>
    </row>
    <row r="107" spans="1:16">
      <c r="A107" s="74"/>
      <c r="B107" s="74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52"/>
      <c r="N107" s="52"/>
      <c r="O107" s="53"/>
      <c r="P107" s="51"/>
    </row>
    <row r="108" spans="1:16">
      <c r="A108" s="74"/>
      <c r="B108" s="74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52"/>
      <c r="N108" s="52"/>
      <c r="O108" s="53"/>
      <c r="P108" s="51"/>
    </row>
    <row r="109" spans="1:16">
      <c r="A109" s="5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52"/>
      <c r="N109" s="52"/>
      <c r="O109" s="53"/>
      <c r="P109" s="51"/>
    </row>
    <row r="110" spans="1:16">
      <c r="A110" s="5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52"/>
      <c r="N110" s="52"/>
      <c r="O110" s="53"/>
      <c r="P110" s="51"/>
    </row>
    <row r="111" spans="1:16">
      <c r="A111" s="153" t="s">
        <v>161</v>
      </c>
      <c r="B111" s="153"/>
      <c r="C111" s="153"/>
      <c r="D111" s="153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3"/>
      <c r="P111" s="51"/>
    </row>
    <row r="112" spans="1:16">
      <c r="A112" s="185" t="s">
        <v>162</v>
      </c>
      <c r="B112" s="186"/>
      <c r="C112" s="42" t="s">
        <v>11</v>
      </c>
      <c r="D112" s="42" t="s">
        <v>12</v>
      </c>
      <c r="E112" s="42" t="s">
        <v>13</v>
      </c>
      <c r="F112" s="42" t="s">
        <v>163</v>
      </c>
      <c r="G112" s="52"/>
      <c r="H112" s="52"/>
      <c r="I112" s="52"/>
      <c r="J112" s="52"/>
      <c r="K112" s="52"/>
      <c r="L112" s="52"/>
      <c r="M112" s="28"/>
      <c r="N112" s="28"/>
      <c r="O112" s="53"/>
      <c r="P112" s="51"/>
    </row>
    <row r="113" spans="1:15">
      <c r="A113" s="113" t="s">
        <v>164</v>
      </c>
      <c r="B113" s="114"/>
      <c r="C113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43'!C129+'ATM PH Release 37.5'!C129+'CBPTINT - 3291 CLP MVP 1 Renewa'!C129+#REF!+#REF!+'CBPTINTK-3069 Project Guardian'!C129+'CBPTINTK-3517 Property Insuranc'!C129+'CBPTINTK-4356 CB Enhancements A'!C129+'CBPTINTK-3796 CLD &amp; Repricing L'!C129+'CBPTINTK-23365 LCMS Funding Con'!C129+'PBBT-13832 DM Relationship 4,5,'!C129+'PBBT-23572 RESL POD Shift Left'!C129+'CBPTINTK-17774 Annual Mortgage '!C129+'Securitization November 2025 Re'!C129+'CBPTINTK-2616 Renewal Due Dilig'!C129+'CBPTINTK-23406 Upgrade DDGS Sma'!C129+'CBPTINTK-4105 Client at Risk CR'!C129+'CBPTINTK-4313 Reverse Franchisi'!C129+'PBBT-22623 Eliminate IMDS Depen'!C129+'PBBT-22425 Excalibur LFA_PBBT-2'!C129+'PBBT-23552 Excalibur to RCDW Mo'!C129+'PBPT16393 Credit Maintenance Pl'!C129+'CBPTINTK-3965 - KC Optimization'!C129+'CBPTINTK-2800 IDP CA Foundation'!C129)</f>
        <v>#REF!</v>
      </c>
      <c r="D113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43'!D129+'ATM PH Release 37.5'!D129+'CBPTINT - 3291 CLP MVP 1 Renewa'!D129+#REF!+#REF!+'CBPTINTK-3069 Project Guardian'!D129+'CBPTINTK-3517 Property Insuranc'!D129+'CBPTINTK-4356 CB Enhancements A'!D129+'CBPTINTK-3796 CLD &amp; Repricing L'!D129+'CBPTINTK-23365 LCMS Funding Con'!D129+'PBBT-13832 DM Relationship 4,5,'!D129+'PBBT-23572 RESL POD Shift Left'!D129+'CBPTINTK-17774 Annual Mortgage '!D129+'Securitization November 2025 Re'!D129+'CBPTINTK-2616 Renewal Due Dilig'!D129+'CBPTINTK-23406 Upgrade DDGS Sma'!D129+'CBPTINTK-4105 Client at Risk CR'!D129+'CBPTINTK-4313 Reverse Franchisi'!D129+'PBBT-22623 Eliminate IMDS Depen'!D129+'PBBT-22425 Excalibur LFA_PBBT-2'!D129+'PBBT-23552 Excalibur to RCDW Mo'!D129+'PBPT16393 Credit Maintenance Pl'!D129+'CBPTINTK-3965 - KC Optimization'!D129+'CBPTINTK-2800 IDP CA Foundation'!D129)</f>
        <v>#REF!</v>
      </c>
      <c r="E113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43'!E129+'ATM PH Release 37.5'!E129+'CBPTINT - 3291 CLP MVP 1 Renewa'!E129+#REF!+#REF!+'CBPTINTK-3069 Project Guardian'!E129+'CBPTINTK-3517 Property Insuranc'!E129+'CBPTINTK-4356 CB Enhancements A'!E129+'CBPTINTK-3796 CLD &amp; Repricing L'!E129+'CBPTINTK-23365 LCMS Funding Con'!E129+'PBBT-13832 DM Relationship 4,5,'!E129+'PBBT-23572 RESL POD Shift Left'!E129+'CBPTINTK-17774 Annual Mortgage '!E129+'Securitization November 2025 Re'!E129+'CBPTINTK-2616 Renewal Due Dilig'!E129+'CBPTINTK-23406 Upgrade DDGS Sma'!E129+'CBPTINTK-4105 Client at Risk CR'!E129+'CBPTINTK-4313 Reverse Franchisi'!E129+'PBBT-22623 Eliminate IMDS Depen'!E129+'PBBT-22425 Excalibur LFA_PBBT-2'!E129+'PBBT-23552 Excalibur to RCDW Mo'!E129+'PBPT16393 Credit Maintenance Pl'!E129+'CBPTINTK-3965 - KC Optimization'!E129+'CBPTINTK-2800 IDP CA Foundation'!E129)</f>
        <v>#REF!</v>
      </c>
      <c r="F113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43'!F129+'ATM PH Release 37.5'!F129+'CBPTINT - 3291 CLP MVP 1 Renewa'!F129+#REF!+#REF!+'CBPTINTK-3069 Project Guardian'!F129+'CBPTINTK-3517 Property Insuranc'!F129+'CBPTINTK-4356 CB Enhancements A'!F129+'CBPTINTK-3796 CLD &amp; Repricing L'!F129+'CBPTINTK-23365 LCMS Funding Con'!F129+'PBBT-13832 DM Relationship 4,5,'!F129+'PBBT-23572 RESL POD Shift Left'!F129+'CBPTINTK-17774 Annual Mortgage '!F129+'Securitization November 2025 Re'!F129+'CBPTINTK-2616 Renewal Due Dilig'!F129+'CBPTINTK-23406 Upgrade DDGS Sma'!F129+'CBPTINTK-4105 Client at Risk CR'!F129+'CBPTINTK-4313 Reverse Franchisi'!F129+'PBBT-22623 Eliminate IMDS Depen'!F129+'PBBT-22425 Excalibur LFA_PBBT-2'!F129+'PBBT-23552 Excalibur to RCDW Mo'!F129+'PBPT16393 Credit Maintenance Pl'!F129+'CBPTINTK-3965 - KC Optimization'!F129+'CBPTINTK-2800 IDP CA Foundation'!F129)</f>
        <v>#REF!</v>
      </c>
      <c r="G113" s="52"/>
      <c r="H113" s="52"/>
      <c r="I113" s="52"/>
      <c r="J113" s="52"/>
      <c r="K113" s="52"/>
      <c r="L113" s="52"/>
      <c r="M113" s="52"/>
      <c r="N113" s="52"/>
      <c r="O113" s="53"/>
    </row>
    <row r="114" spans="1:15">
      <c r="A114" s="113" t="s">
        <v>165</v>
      </c>
      <c r="B114" s="114"/>
      <c r="C114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43'!C130+'ATM PH Release 37.5'!C130+'CBPTINT - 3291 CLP MVP 1 Renewa'!C130+#REF!+#REF!+'CBPTINTK-3069 Project Guardian'!C130+'CBPTINTK-3517 Property Insuranc'!C130+'CBPTINTK-4356 CB Enhancements A'!C130+'CBPTINTK-3796 CLD &amp; Repricing L'!C130+'CBPTINTK-23365 LCMS Funding Con'!C130+'PBBT-13832 DM Relationship 4,5,'!C130+'PBBT-23572 RESL POD Shift Left'!C130+'CBPTINTK-17774 Annual Mortgage '!C130+'Securitization November 2025 Re'!C130+'CBPTINTK-2616 Renewal Due Dilig'!C130+'CBPTINTK-23406 Upgrade DDGS Sma'!C130+'CBPTINTK-4105 Client at Risk CR'!C130+'CBPTINTK-4313 Reverse Franchisi'!C130+'PBBT-22623 Eliminate IMDS Depen'!C130+'PBBT-22425 Excalibur LFA_PBBT-2'!C130+'PBBT-23552 Excalibur to RCDW Mo'!C130+'PBPT16393 Credit Maintenance Pl'!C130+'CBPTINTK-3965 - KC Optimization'!C130+'CBPTINTK-2800 IDP CA Foundation'!C130)</f>
        <v>#REF!</v>
      </c>
      <c r="D114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43'!D130+'ATM PH Release 37.5'!D130+'CBPTINT - 3291 CLP MVP 1 Renewa'!D130+#REF!+#REF!+'CBPTINTK-3069 Project Guardian'!D130+'CBPTINTK-3517 Property Insuranc'!D130+'CBPTINTK-4356 CB Enhancements A'!D130+'CBPTINTK-3796 CLD &amp; Repricing L'!D130+'CBPTINTK-23365 LCMS Funding Con'!D130+'PBBT-13832 DM Relationship 4,5,'!D130+'PBBT-23572 RESL POD Shift Left'!D130+'CBPTINTK-17774 Annual Mortgage '!D130+'Securitization November 2025 Re'!D130+'CBPTINTK-2616 Renewal Due Dilig'!D130+'CBPTINTK-23406 Upgrade DDGS Sma'!D130+'CBPTINTK-4105 Client at Risk CR'!D130+'CBPTINTK-4313 Reverse Franchisi'!D130+'PBBT-22623 Eliminate IMDS Depen'!D130+'PBBT-22425 Excalibur LFA_PBBT-2'!D130+'PBBT-23552 Excalibur to RCDW Mo'!D130+'PBPT16393 Credit Maintenance Pl'!D130+'CBPTINTK-3965 - KC Optimization'!D130+'CBPTINTK-2800 IDP CA Foundation'!D130)</f>
        <v>#REF!</v>
      </c>
      <c r="E114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43'!E130+'ATM PH Release 37.5'!E130+'CBPTINT - 3291 CLP MVP 1 Renewa'!E130+#REF!+#REF!+'CBPTINTK-3069 Project Guardian'!E130+'CBPTINTK-3517 Property Insuranc'!E130+'CBPTINTK-4356 CB Enhancements A'!E130+'CBPTINTK-3796 CLD &amp; Repricing L'!E130+'CBPTINTK-23365 LCMS Funding Con'!E130+'PBBT-13832 DM Relationship 4,5,'!E130+'PBBT-23572 RESL POD Shift Left'!E130+'CBPTINTK-17774 Annual Mortgage '!E130+'Securitization November 2025 Re'!E130+'CBPTINTK-2616 Renewal Due Dilig'!E130+'CBPTINTK-23406 Upgrade DDGS Sma'!E130+'CBPTINTK-4105 Client at Risk CR'!E130+'CBPTINTK-4313 Reverse Franchisi'!E130+'PBBT-22623 Eliminate IMDS Depen'!E130+'PBBT-22425 Excalibur LFA_PBBT-2'!E130+'PBBT-23552 Excalibur to RCDW Mo'!E130+'PBPT16393 Credit Maintenance Pl'!E130+'CBPTINTK-3965 - KC Optimization'!E130+'CBPTINTK-2800 IDP CA Foundation'!E130)</f>
        <v>#REF!</v>
      </c>
      <c r="F114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43'!F130+'ATM PH Release 37.5'!F130+'CBPTINT - 3291 CLP MVP 1 Renewa'!F130+#REF!+#REF!+'CBPTINTK-3069 Project Guardian'!F130+'CBPTINTK-3517 Property Insuranc'!F130+'CBPTINTK-4356 CB Enhancements A'!F130+'CBPTINTK-3796 CLD &amp; Repricing L'!F130+'CBPTINTK-23365 LCMS Funding Con'!F130+'PBBT-13832 DM Relationship 4,5,'!F130+'PBBT-23572 RESL POD Shift Left'!F130+'CBPTINTK-17774 Annual Mortgage '!F130+'Securitization November 2025 Re'!F130+'CBPTINTK-2616 Renewal Due Dilig'!F130+'CBPTINTK-23406 Upgrade DDGS Sma'!F130+'CBPTINTK-4105 Client at Risk CR'!F130+'CBPTINTK-4313 Reverse Franchisi'!F130+'PBBT-22623 Eliminate IMDS Depen'!F130+'PBBT-22425 Excalibur LFA_PBBT-2'!F130+'PBBT-23552 Excalibur to RCDW Mo'!F130+'PBPT16393 Credit Maintenance Pl'!F130+'CBPTINTK-3965 - KC Optimization'!F130+'CBPTINTK-2800 IDP CA Foundation'!F130)</f>
        <v>#REF!</v>
      </c>
      <c r="G114" s="52"/>
      <c r="H114" s="52"/>
      <c r="I114" s="52"/>
      <c r="J114" s="52"/>
      <c r="K114" s="52"/>
      <c r="L114" s="52"/>
      <c r="M114" s="52"/>
      <c r="N114" s="52"/>
      <c r="O114" s="53"/>
    </row>
    <row r="115" spans="1:15">
      <c r="A115" s="113" t="s">
        <v>166</v>
      </c>
      <c r="B115" s="114"/>
      <c r="C115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43'!C131+'ATM PH Release 37.5'!C131+'CBPTINT - 3291 CLP MVP 1 Renewa'!C131+#REF!+#REF!+'CBPTINTK-3069 Project Guardian'!C131+'CBPTINTK-3517 Property Insuranc'!C131+'CBPTINTK-4356 CB Enhancements A'!C131+'CBPTINTK-3796 CLD &amp; Repricing L'!C131+'CBPTINTK-23365 LCMS Funding Con'!C131+'PBBT-13832 DM Relationship 4,5,'!C131+'PBBT-23572 RESL POD Shift Left'!C131+'CBPTINTK-17774 Annual Mortgage '!C131+'Securitization November 2025 Re'!C131+'CBPTINTK-2616 Renewal Due Dilig'!C131+'CBPTINTK-23406 Upgrade DDGS Sma'!C131+'CBPTINTK-4105 Client at Risk CR'!C131+'CBPTINTK-4313 Reverse Franchisi'!C131+'PBBT-22623 Eliminate IMDS Depen'!C131+'PBBT-22425 Excalibur LFA_PBBT-2'!C131+'PBBT-23552 Excalibur to RCDW Mo'!C131+'PBPT16393 Credit Maintenance Pl'!C131+'CBPTINTK-3965 - KC Optimization'!C131+'CBPTINTK-2800 IDP CA Foundation'!C131)</f>
        <v>#REF!</v>
      </c>
      <c r="D115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43'!D131+'ATM PH Release 37.5'!D131+'CBPTINT - 3291 CLP MVP 1 Renewa'!D131+#REF!+#REF!+'CBPTINTK-3069 Project Guardian'!D131+'CBPTINTK-3517 Property Insuranc'!D131+'CBPTINTK-4356 CB Enhancements A'!D131+'CBPTINTK-3796 CLD &amp; Repricing L'!D131+'CBPTINTK-23365 LCMS Funding Con'!D131+'PBBT-13832 DM Relationship 4,5,'!D131+'PBBT-23572 RESL POD Shift Left'!D131+'CBPTINTK-17774 Annual Mortgage '!D131+'Securitization November 2025 Re'!D131+'CBPTINTK-2616 Renewal Due Dilig'!D131+'CBPTINTK-23406 Upgrade DDGS Sma'!D131+'CBPTINTK-4105 Client at Risk CR'!D131+'CBPTINTK-4313 Reverse Franchisi'!D131+'PBBT-22623 Eliminate IMDS Depen'!D131+'PBBT-22425 Excalibur LFA_PBBT-2'!D131+'PBBT-23552 Excalibur to RCDW Mo'!D131+'PBPT16393 Credit Maintenance Pl'!D131+'CBPTINTK-3965 - KC Optimization'!D131+'CBPTINTK-2800 IDP CA Foundation'!D131)</f>
        <v>#REF!</v>
      </c>
      <c r="E115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43'!E131+'ATM PH Release 37.5'!E131+'CBPTINT - 3291 CLP MVP 1 Renewa'!E131+#REF!+#REF!+'CBPTINTK-3069 Project Guardian'!E131+'CBPTINTK-3517 Property Insuranc'!E131+'CBPTINTK-4356 CB Enhancements A'!E131+'CBPTINTK-3796 CLD &amp; Repricing L'!E131+'CBPTINTK-23365 LCMS Funding Con'!E131+'PBBT-13832 DM Relationship 4,5,'!E131+'PBBT-23572 RESL POD Shift Left'!E131+'CBPTINTK-17774 Annual Mortgage '!E131+'Securitization November 2025 Re'!E131+'CBPTINTK-2616 Renewal Due Dilig'!E131+'CBPTINTK-23406 Upgrade DDGS Sma'!E131+'CBPTINTK-4105 Client at Risk CR'!E131+'CBPTINTK-4313 Reverse Franchisi'!E131+'PBBT-22623 Eliminate IMDS Depen'!E131+'PBBT-22425 Excalibur LFA_PBBT-2'!E131+'PBBT-23552 Excalibur to RCDW Mo'!E131+'PBPT16393 Credit Maintenance Pl'!E131+'CBPTINTK-3965 - KC Optimization'!E131+'CBPTINTK-2800 IDP CA Foundation'!E131)</f>
        <v>#REF!</v>
      </c>
      <c r="F115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43'!F131+'ATM PH Release 37.5'!F131+'CBPTINT - 3291 CLP MVP 1 Renewa'!F131+#REF!+#REF!+'CBPTINTK-3069 Project Guardian'!F131+'CBPTINTK-3517 Property Insuranc'!F131+'CBPTINTK-4356 CB Enhancements A'!F131+'CBPTINTK-3796 CLD &amp; Repricing L'!F131+'CBPTINTK-23365 LCMS Funding Con'!F131+'PBBT-13832 DM Relationship 4,5,'!F131+'PBBT-23572 RESL POD Shift Left'!F131+'CBPTINTK-17774 Annual Mortgage '!F131+'Securitization November 2025 Re'!F131+'CBPTINTK-2616 Renewal Due Dilig'!F131+'CBPTINTK-23406 Upgrade DDGS Sma'!F131+'CBPTINTK-4105 Client at Risk CR'!F131+'CBPTINTK-4313 Reverse Franchisi'!F131+'PBBT-22623 Eliminate IMDS Depen'!F131+'PBBT-22425 Excalibur LFA_PBBT-2'!F131+'PBBT-23552 Excalibur to RCDW Mo'!F131+'PBPT16393 Credit Maintenance Pl'!F131+'CBPTINTK-3965 - KC Optimization'!F131+'CBPTINTK-2800 IDP CA Foundation'!F131)</f>
        <v>#REF!</v>
      </c>
      <c r="G115" s="52"/>
      <c r="H115" s="52"/>
      <c r="I115" s="52"/>
      <c r="J115" s="52"/>
      <c r="K115" s="52"/>
      <c r="L115" s="52"/>
      <c r="M115" s="52"/>
      <c r="N115" s="52"/>
      <c r="O115" s="53"/>
    </row>
    <row r="116" spans="1:15">
      <c r="A116" s="113" t="s">
        <v>167</v>
      </c>
      <c r="B116" s="114"/>
      <c r="C116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43'!C132+'ATM PH Release 37.5'!C132+'CBPTINT - 3291 CLP MVP 1 Renewa'!C132+#REF!+#REF!+'CBPTINTK-3069 Project Guardian'!C132+'CBPTINTK-3517 Property Insuranc'!C132+'CBPTINTK-4356 CB Enhancements A'!C132+'CBPTINTK-3796 CLD &amp; Repricing L'!C132+'CBPTINTK-23365 LCMS Funding Con'!C132+'PBBT-13832 DM Relationship 4,5,'!C132+'PBBT-23572 RESL POD Shift Left'!C132+'CBPTINTK-17774 Annual Mortgage '!C132+'Securitization November 2025 Re'!C132+'CBPTINTK-2616 Renewal Due Dilig'!C132+'CBPTINTK-23406 Upgrade DDGS Sma'!C132+'CBPTINTK-4105 Client at Risk CR'!C132+'CBPTINTK-4313 Reverse Franchisi'!C132+'PBBT-22623 Eliminate IMDS Depen'!C132+'PBBT-22425 Excalibur LFA_PBBT-2'!C132+'PBBT-23552 Excalibur to RCDW Mo'!C132+'PBPT16393 Credit Maintenance Pl'!C132+'CBPTINTK-3965 - KC Optimization'!C132+'CBPTINTK-2800 IDP CA Foundation'!C132)</f>
        <v>#REF!</v>
      </c>
      <c r="D116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43'!D132+'ATM PH Release 37.5'!D132+'CBPTINT - 3291 CLP MVP 1 Renewa'!D132+#REF!+#REF!+'CBPTINTK-3069 Project Guardian'!D132+'CBPTINTK-3517 Property Insuranc'!D132+'CBPTINTK-4356 CB Enhancements A'!D132+'CBPTINTK-3796 CLD &amp; Repricing L'!D132+'CBPTINTK-23365 LCMS Funding Con'!D132+'PBBT-13832 DM Relationship 4,5,'!D132+'PBBT-23572 RESL POD Shift Left'!D132+'CBPTINTK-17774 Annual Mortgage '!D132+'Securitization November 2025 Re'!D132+'CBPTINTK-2616 Renewal Due Dilig'!D132+'CBPTINTK-23406 Upgrade DDGS Sma'!D132+'CBPTINTK-4105 Client at Risk CR'!D132+'CBPTINTK-4313 Reverse Franchisi'!D132+'PBBT-22623 Eliminate IMDS Depen'!D132+'PBBT-22425 Excalibur LFA_PBBT-2'!D132+'PBBT-23552 Excalibur to RCDW Mo'!D132+'PBPT16393 Credit Maintenance Pl'!D132+'CBPTINTK-3965 - KC Optimization'!D132+'CBPTINTK-2800 IDP CA Foundation'!D132)</f>
        <v>#REF!</v>
      </c>
      <c r="E116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43'!E132+'ATM PH Release 37.5'!E132+'CBPTINT - 3291 CLP MVP 1 Renewa'!E132+#REF!+#REF!+'CBPTINTK-3069 Project Guardian'!E132+'CBPTINTK-3517 Property Insuranc'!E132+'CBPTINTK-4356 CB Enhancements A'!E132+'CBPTINTK-3796 CLD &amp; Repricing L'!E132+'CBPTINTK-23365 LCMS Funding Con'!E132+'PBBT-13832 DM Relationship 4,5,'!E132+'PBBT-23572 RESL POD Shift Left'!E132+'CBPTINTK-17774 Annual Mortgage '!E132+'Securitization November 2025 Re'!E132+'CBPTINTK-2616 Renewal Due Dilig'!E132+'CBPTINTK-23406 Upgrade DDGS Sma'!E132+'CBPTINTK-4105 Client at Risk CR'!E132+'CBPTINTK-4313 Reverse Franchisi'!E132+'PBBT-22623 Eliminate IMDS Depen'!E132+'PBBT-22425 Excalibur LFA_PBBT-2'!E132+'PBBT-23552 Excalibur to RCDW Mo'!E132+'PBPT16393 Credit Maintenance Pl'!E132+'CBPTINTK-3965 - KC Optimization'!E132+'CBPTINTK-2800 IDP CA Foundation'!E132)</f>
        <v>#REF!</v>
      </c>
      <c r="F116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43'!F132+'ATM PH Release 37.5'!F132+'CBPTINT - 3291 CLP MVP 1 Renewa'!F132+#REF!+#REF!+'CBPTINTK-3069 Project Guardian'!F132+'CBPTINTK-3517 Property Insuranc'!F132+'CBPTINTK-4356 CB Enhancements A'!F132+'CBPTINTK-3796 CLD &amp; Repricing L'!F132+'CBPTINTK-23365 LCMS Funding Con'!F132+'PBBT-13832 DM Relationship 4,5,'!F132+'PBBT-23572 RESL POD Shift Left'!F132+'CBPTINTK-17774 Annual Mortgage '!F132+'Securitization November 2025 Re'!F132+'CBPTINTK-2616 Renewal Due Dilig'!F132+'CBPTINTK-23406 Upgrade DDGS Sma'!F132+'CBPTINTK-4105 Client at Risk CR'!F132+'CBPTINTK-4313 Reverse Franchisi'!F132+'PBBT-22623 Eliminate IMDS Depen'!F132+'PBBT-22425 Excalibur LFA_PBBT-2'!F132+'PBBT-23552 Excalibur to RCDW Mo'!F132+'PBPT16393 Credit Maintenance Pl'!F132+'CBPTINTK-3965 - KC Optimization'!F132+'CBPTINTK-2800 IDP CA Foundation'!F132)</f>
        <v>#REF!</v>
      </c>
      <c r="G116" s="52"/>
      <c r="H116" s="52"/>
      <c r="I116" s="52"/>
      <c r="J116" s="52"/>
      <c r="K116" s="52"/>
      <c r="L116" s="52"/>
      <c r="M116" s="52"/>
      <c r="N116" s="52"/>
      <c r="O116" s="53"/>
    </row>
    <row r="117" spans="1:15">
      <c r="A117" s="113" t="s">
        <v>168</v>
      </c>
      <c r="B117" s="114"/>
      <c r="C117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43'!C133+'ATM PH Release 37.5'!C133+'CBPTINT - 3291 CLP MVP 1 Renewa'!C133+#REF!+#REF!+'CBPTINTK-3069 Project Guardian'!C133+'CBPTINTK-3517 Property Insuranc'!C133+'CBPTINTK-4356 CB Enhancements A'!C133+'CBPTINTK-3796 CLD &amp; Repricing L'!C133+'CBPTINTK-23365 LCMS Funding Con'!C133+'PBBT-13832 DM Relationship 4,5,'!C133+'PBBT-23572 RESL POD Shift Left'!C133+'CBPTINTK-17774 Annual Mortgage '!C133+'Securitization November 2025 Re'!C133+'CBPTINTK-2616 Renewal Due Dilig'!C133+'CBPTINTK-23406 Upgrade DDGS Sma'!C133+'CBPTINTK-4105 Client at Risk CR'!C133+'CBPTINTK-4313 Reverse Franchisi'!C133+'PBBT-22623 Eliminate IMDS Depen'!C133+'PBBT-22425 Excalibur LFA_PBBT-2'!C133+'PBBT-23552 Excalibur to RCDW Mo'!C133+'PBPT16393 Credit Maintenance Pl'!C133+'CBPTINTK-3965 - KC Optimization'!C133+'CBPTINTK-2800 IDP CA Foundation'!C133)</f>
        <v>#REF!</v>
      </c>
      <c r="D117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43'!D133+'ATM PH Release 37.5'!D133+'CBPTINT - 3291 CLP MVP 1 Renewa'!D133+#REF!+#REF!+'CBPTINTK-3069 Project Guardian'!D133+'CBPTINTK-3517 Property Insuranc'!D133+'CBPTINTK-4356 CB Enhancements A'!D133+'CBPTINTK-3796 CLD &amp; Repricing L'!D133+'CBPTINTK-23365 LCMS Funding Con'!D133+'PBBT-13832 DM Relationship 4,5,'!D133+'PBBT-23572 RESL POD Shift Left'!D133+'CBPTINTK-17774 Annual Mortgage '!D133+'Securitization November 2025 Re'!D133+'CBPTINTK-2616 Renewal Due Dilig'!D133+'CBPTINTK-23406 Upgrade DDGS Sma'!D133+'CBPTINTK-4105 Client at Risk CR'!D133+'CBPTINTK-4313 Reverse Franchisi'!D133+'PBBT-22623 Eliminate IMDS Depen'!D133+'PBBT-22425 Excalibur LFA_PBBT-2'!D133+'PBBT-23552 Excalibur to RCDW Mo'!D133+'PBPT16393 Credit Maintenance Pl'!D133+'CBPTINTK-3965 - KC Optimization'!D133+'CBPTINTK-2800 IDP CA Foundation'!D133)</f>
        <v>#REF!</v>
      </c>
      <c r="E117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43'!E133+'ATM PH Release 37.5'!E133+'CBPTINT - 3291 CLP MVP 1 Renewa'!E133+#REF!+#REF!+'CBPTINTK-3069 Project Guardian'!E133+'CBPTINTK-3517 Property Insuranc'!E133+'CBPTINTK-4356 CB Enhancements A'!E133+'CBPTINTK-3796 CLD &amp; Repricing L'!E133+'CBPTINTK-23365 LCMS Funding Con'!E133+'PBBT-13832 DM Relationship 4,5,'!E133+'PBBT-23572 RESL POD Shift Left'!E133+'CBPTINTK-17774 Annual Mortgage '!E133+'Securitization November 2025 Re'!E133+'CBPTINTK-2616 Renewal Due Dilig'!E133+'CBPTINTK-23406 Upgrade DDGS Sma'!E133+'CBPTINTK-4105 Client at Risk CR'!E133+'CBPTINTK-4313 Reverse Franchisi'!E133+'PBBT-22623 Eliminate IMDS Depen'!E133+'PBBT-22425 Excalibur LFA_PBBT-2'!E133+'PBBT-23552 Excalibur to RCDW Mo'!E133+'PBPT16393 Credit Maintenance Pl'!E133+'CBPTINTK-3965 - KC Optimization'!E133+'CBPTINTK-2800 IDP CA Foundation'!E133)</f>
        <v>#REF!</v>
      </c>
      <c r="F117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43'!F133+'ATM PH Release 37.5'!F133+'CBPTINT - 3291 CLP MVP 1 Renewa'!F133+#REF!+#REF!+'CBPTINTK-3069 Project Guardian'!F133+'CBPTINTK-3517 Property Insuranc'!F133+'CBPTINTK-4356 CB Enhancements A'!F133+'CBPTINTK-3796 CLD &amp; Repricing L'!F133+'CBPTINTK-23365 LCMS Funding Con'!F133+'PBBT-13832 DM Relationship 4,5,'!F133+'PBBT-23572 RESL POD Shift Left'!F133+'CBPTINTK-17774 Annual Mortgage '!F133+'Securitization November 2025 Re'!F133+'CBPTINTK-2616 Renewal Due Dilig'!F133+'CBPTINTK-23406 Upgrade DDGS Sma'!F133+'CBPTINTK-4105 Client at Risk CR'!F133+'CBPTINTK-4313 Reverse Franchisi'!F133+'PBBT-22623 Eliminate IMDS Depen'!F133+'PBBT-22425 Excalibur LFA_PBBT-2'!F133+'PBBT-23552 Excalibur to RCDW Mo'!F133+'PBPT16393 Credit Maintenance Pl'!F133+'CBPTINTK-3965 - KC Optimization'!F133+'CBPTINTK-2800 IDP CA Foundation'!F133)</f>
        <v>#REF!</v>
      </c>
      <c r="G117" s="52"/>
      <c r="H117" s="52"/>
      <c r="I117" s="52"/>
      <c r="J117" s="52"/>
      <c r="K117" s="52"/>
      <c r="L117" s="52"/>
      <c r="M117" s="52"/>
      <c r="N117" s="52"/>
      <c r="O117" s="53"/>
    </row>
    <row r="118" spans="1:15">
      <c r="A118" s="113" t="s">
        <v>169</v>
      </c>
      <c r="B118" s="114"/>
      <c r="C118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43'!C134+'ATM PH Release 37.5'!C134+'CBPTINT - 3291 CLP MVP 1 Renewa'!C134+#REF!+#REF!+'CBPTINTK-3069 Project Guardian'!C134+'CBPTINTK-3517 Property Insuranc'!C134+'CBPTINTK-4356 CB Enhancements A'!C134+'CBPTINTK-3796 CLD &amp; Repricing L'!C134+'CBPTINTK-23365 LCMS Funding Con'!C134+'PBBT-13832 DM Relationship 4,5,'!C134+'PBBT-23572 RESL POD Shift Left'!C134+'CBPTINTK-17774 Annual Mortgage '!C134+'Securitization November 2025 Re'!C134+'CBPTINTK-2616 Renewal Due Dilig'!C134+'CBPTINTK-23406 Upgrade DDGS Sma'!C134+'CBPTINTK-4105 Client at Risk CR'!C134+'CBPTINTK-4313 Reverse Franchisi'!C134+'PBBT-22623 Eliminate IMDS Depen'!C134+'PBBT-22425 Excalibur LFA_PBBT-2'!C134+'PBBT-23552 Excalibur to RCDW Mo'!C134+'PBPT16393 Credit Maintenance Pl'!C134+'CBPTINTK-3965 - KC Optimization'!C134+'CBPTINTK-2800 IDP CA Foundation'!C134)</f>
        <v>#REF!</v>
      </c>
      <c r="D118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43'!D134+'ATM PH Release 37.5'!D134+'CBPTINT - 3291 CLP MVP 1 Renewa'!D134+#REF!+#REF!+'CBPTINTK-3069 Project Guardian'!D134+'CBPTINTK-3517 Property Insuranc'!D134+'CBPTINTK-4356 CB Enhancements A'!D134+'CBPTINTK-3796 CLD &amp; Repricing L'!D134+'CBPTINTK-23365 LCMS Funding Con'!D134+'PBBT-13832 DM Relationship 4,5,'!D134+'PBBT-23572 RESL POD Shift Left'!D134+'CBPTINTK-17774 Annual Mortgage '!D134+'Securitization November 2025 Re'!D134+'CBPTINTK-2616 Renewal Due Dilig'!D134+'CBPTINTK-23406 Upgrade DDGS Sma'!D134+'CBPTINTK-4105 Client at Risk CR'!D134+'CBPTINTK-4313 Reverse Franchisi'!D134+'PBBT-22623 Eliminate IMDS Depen'!D134+'PBBT-22425 Excalibur LFA_PBBT-2'!D134+'PBBT-23552 Excalibur to RCDW Mo'!D134+'PBPT16393 Credit Maintenance Pl'!D134+'CBPTINTK-3965 - KC Optimization'!D134+'CBPTINTK-2800 IDP CA Foundation'!D134)</f>
        <v>#REF!</v>
      </c>
      <c r="E118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43'!E134+'ATM PH Release 37.5'!E134+'CBPTINT - 3291 CLP MVP 1 Renewa'!E134+#REF!+#REF!+'CBPTINTK-3069 Project Guardian'!E134+'CBPTINTK-3517 Property Insuranc'!E134+'CBPTINTK-4356 CB Enhancements A'!E134+'CBPTINTK-3796 CLD &amp; Repricing L'!E134+'CBPTINTK-23365 LCMS Funding Con'!E134+'PBBT-13832 DM Relationship 4,5,'!E134+'PBBT-23572 RESL POD Shift Left'!E134+'CBPTINTK-17774 Annual Mortgage '!E134+'Securitization November 2025 Re'!E134+'CBPTINTK-2616 Renewal Due Dilig'!E134+'CBPTINTK-23406 Upgrade DDGS Sma'!E134+'CBPTINTK-4105 Client at Risk CR'!E134+'CBPTINTK-4313 Reverse Franchisi'!E134+'PBBT-22623 Eliminate IMDS Depen'!E134+'PBBT-22425 Excalibur LFA_PBBT-2'!E134+'PBBT-23552 Excalibur to RCDW Mo'!E134+'PBPT16393 Credit Maintenance Pl'!E134+'CBPTINTK-3965 - KC Optimization'!E134+'CBPTINTK-2800 IDP CA Foundation'!E134)</f>
        <v>#REF!</v>
      </c>
      <c r="F118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43'!F134+'ATM PH Release 37.5'!F134+'CBPTINT - 3291 CLP MVP 1 Renewa'!F134+#REF!+#REF!+'CBPTINTK-3069 Project Guardian'!F134+'CBPTINTK-3517 Property Insuranc'!F134+'CBPTINTK-4356 CB Enhancements A'!F134+'CBPTINTK-3796 CLD &amp; Repricing L'!F134+'CBPTINTK-23365 LCMS Funding Con'!F134+'PBBT-13832 DM Relationship 4,5,'!F134+'PBBT-23572 RESL POD Shift Left'!F134+'CBPTINTK-17774 Annual Mortgage '!F134+'Securitization November 2025 Re'!F134+'CBPTINTK-2616 Renewal Due Dilig'!F134+'CBPTINTK-23406 Upgrade DDGS Sma'!F134+'CBPTINTK-4105 Client at Risk CR'!F134+'CBPTINTK-4313 Reverse Franchisi'!F134+'PBBT-22623 Eliminate IMDS Depen'!F134+'PBBT-22425 Excalibur LFA_PBBT-2'!F134+'PBBT-23552 Excalibur to RCDW Mo'!F134+'PBPT16393 Credit Maintenance Pl'!F134+'CBPTINTK-3965 - KC Optimization'!F134+'CBPTINTK-2800 IDP CA Foundation'!F134)</f>
        <v>#REF!</v>
      </c>
      <c r="G118" s="52"/>
      <c r="H118" s="52"/>
      <c r="I118" s="52"/>
      <c r="J118" s="52"/>
      <c r="K118" s="52"/>
      <c r="L118" s="52"/>
      <c r="M118" s="52"/>
      <c r="N118" s="52"/>
      <c r="O118" s="53"/>
    </row>
    <row r="119" spans="1:15">
      <c r="A119" s="113" t="s">
        <v>170</v>
      </c>
      <c r="B119" s="114"/>
      <c r="C119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43'!C135+'ATM PH Release 37.5'!C135+'CBPTINT - 3291 CLP MVP 1 Renewa'!C135+#REF!+#REF!+'CBPTINTK-3069 Project Guardian'!C135+'CBPTINTK-3517 Property Insuranc'!C135+'CBPTINTK-4356 CB Enhancements A'!C135+'CBPTINTK-3796 CLD &amp; Repricing L'!C135+'CBPTINTK-23365 LCMS Funding Con'!C135+'PBBT-13832 DM Relationship 4,5,'!C135+'PBBT-23572 RESL POD Shift Left'!C135+'CBPTINTK-17774 Annual Mortgage '!C135+'Securitization November 2025 Re'!C135+'CBPTINTK-2616 Renewal Due Dilig'!C135+'CBPTINTK-23406 Upgrade DDGS Sma'!C135+'CBPTINTK-4105 Client at Risk CR'!C135+'CBPTINTK-4313 Reverse Franchisi'!C135+'PBBT-22623 Eliminate IMDS Depen'!C135+'PBBT-22425 Excalibur LFA_PBBT-2'!C135+'PBBT-23552 Excalibur to RCDW Mo'!C135+'PBPT16393 Credit Maintenance Pl'!C135+'CBPTINTK-3965 - KC Optimization'!C135+'CBPTINTK-2800 IDP CA Foundation'!C135)</f>
        <v>#REF!</v>
      </c>
      <c r="D119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43'!D135+'ATM PH Release 37.5'!D135+'CBPTINT - 3291 CLP MVP 1 Renewa'!D135+#REF!+#REF!+'CBPTINTK-3069 Project Guardian'!D135+'CBPTINTK-3517 Property Insuranc'!D135+'CBPTINTK-4356 CB Enhancements A'!D135+'CBPTINTK-3796 CLD &amp; Repricing L'!D135+'CBPTINTK-23365 LCMS Funding Con'!D135+'PBBT-13832 DM Relationship 4,5,'!D135+'PBBT-23572 RESL POD Shift Left'!D135+'CBPTINTK-17774 Annual Mortgage '!D135+'Securitization November 2025 Re'!D135+'CBPTINTK-2616 Renewal Due Dilig'!D135+'CBPTINTK-23406 Upgrade DDGS Sma'!D135+'CBPTINTK-4105 Client at Risk CR'!D135+'CBPTINTK-4313 Reverse Franchisi'!D135+'PBBT-22623 Eliminate IMDS Depen'!D135+'PBBT-22425 Excalibur LFA_PBBT-2'!D135+'PBBT-23552 Excalibur to RCDW Mo'!D135+'PBPT16393 Credit Maintenance Pl'!D135+'CBPTINTK-3965 - KC Optimization'!D135+'CBPTINTK-2800 IDP CA Foundation'!D135)</f>
        <v>#REF!</v>
      </c>
      <c r="E119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43'!E135+'ATM PH Release 37.5'!E135+'CBPTINT - 3291 CLP MVP 1 Renewa'!E135+#REF!+#REF!+'CBPTINTK-3069 Project Guardian'!E135+'CBPTINTK-3517 Property Insuranc'!E135+'CBPTINTK-4356 CB Enhancements A'!E135+'CBPTINTK-3796 CLD &amp; Repricing L'!E135+'CBPTINTK-23365 LCMS Funding Con'!E135+'PBBT-13832 DM Relationship 4,5,'!E135+'PBBT-23572 RESL POD Shift Left'!E135+'CBPTINTK-17774 Annual Mortgage '!E135+'Securitization November 2025 Re'!E135+'CBPTINTK-2616 Renewal Due Dilig'!E135+'CBPTINTK-23406 Upgrade DDGS Sma'!E135+'CBPTINTK-4105 Client at Risk CR'!E135+'CBPTINTK-4313 Reverse Franchisi'!E135+'PBBT-22623 Eliminate IMDS Depen'!E135+'PBBT-22425 Excalibur LFA_PBBT-2'!E135+'PBBT-23552 Excalibur to RCDW Mo'!E135+'PBPT16393 Credit Maintenance Pl'!E135+'CBPTINTK-3965 - KC Optimization'!E135+'CBPTINTK-2800 IDP CA Foundation'!E135)</f>
        <v>#REF!</v>
      </c>
      <c r="F119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43'!F135+'ATM PH Release 37.5'!F135+'CBPTINT - 3291 CLP MVP 1 Renewa'!F135+#REF!+#REF!+'CBPTINTK-3069 Project Guardian'!F135+'CBPTINTK-3517 Property Insuranc'!F135+'CBPTINTK-4356 CB Enhancements A'!F135+'CBPTINTK-3796 CLD &amp; Repricing L'!F135+'CBPTINTK-23365 LCMS Funding Con'!F135+'PBBT-13832 DM Relationship 4,5,'!F135+'PBBT-23572 RESL POD Shift Left'!F135+'CBPTINTK-17774 Annual Mortgage '!F135+'Securitization November 2025 Re'!F135+'CBPTINTK-2616 Renewal Due Dilig'!F135+'CBPTINTK-23406 Upgrade DDGS Sma'!F135+'CBPTINTK-4105 Client at Risk CR'!F135+'CBPTINTK-4313 Reverse Franchisi'!F135+'PBBT-22623 Eliminate IMDS Depen'!F135+'PBBT-22425 Excalibur LFA_PBBT-2'!F135+'PBBT-23552 Excalibur to RCDW Mo'!F135+'PBPT16393 Credit Maintenance Pl'!F135+'CBPTINTK-3965 - KC Optimization'!F135+'CBPTINTK-2800 IDP CA Foundation'!F135)</f>
        <v>#REF!</v>
      </c>
      <c r="G119" s="52"/>
      <c r="H119" s="52"/>
      <c r="I119" s="52"/>
      <c r="J119" s="52"/>
      <c r="K119" s="52"/>
      <c r="L119" s="52"/>
      <c r="M119" s="52"/>
      <c r="N119" s="52"/>
      <c r="O119" s="53"/>
    </row>
    <row r="120" spans="1:15">
      <c r="A120" s="113" t="s">
        <v>171</v>
      </c>
      <c r="B120" s="114"/>
      <c r="C120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43'!C136+'ATM PH Release 37.5'!C136+'CBPTINT - 3291 CLP MVP 1 Renewa'!C136+#REF!+#REF!+'CBPTINTK-3069 Project Guardian'!C136+'CBPTINTK-3517 Property Insuranc'!C136+'CBPTINTK-4356 CB Enhancements A'!C136+'CBPTINTK-3796 CLD &amp; Repricing L'!C136+'CBPTINTK-23365 LCMS Funding Con'!C136+'PBBT-13832 DM Relationship 4,5,'!C136+'PBBT-23572 RESL POD Shift Left'!C136+'CBPTINTK-17774 Annual Mortgage '!C136+'Securitization November 2025 Re'!C136+'CBPTINTK-2616 Renewal Due Dilig'!C136+'CBPTINTK-23406 Upgrade DDGS Sma'!C136+'CBPTINTK-4105 Client at Risk CR'!C136+'CBPTINTK-4313 Reverse Franchisi'!C136+'PBBT-22623 Eliminate IMDS Depen'!C136+'PBBT-22425 Excalibur LFA_PBBT-2'!C136+'PBBT-23552 Excalibur to RCDW Mo'!C136+'PBPT16393 Credit Maintenance Pl'!C136+'CBPTINTK-3965 - KC Optimization'!C136+'CBPTINTK-2800 IDP CA Foundation'!C136)</f>
        <v>#REF!</v>
      </c>
      <c r="D120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43'!D136+'ATM PH Release 37.5'!D136+'CBPTINT - 3291 CLP MVP 1 Renewa'!D136+#REF!+#REF!+'CBPTINTK-3069 Project Guardian'!D136+'CBPTINTK-3517 Property Insuranc'!D136+'CBPTINTK-4356 CB Enhancements A'!D136+'CBPTINTK-3796 CLD &amp; Repricing L'!D136+'CBPTINTK-23365 LCMS Funding Con'!D136+'PBBT-13832 DM Relationship 4,5,'!D136+'PBBT-23572 RESL POD Shift Left'!D136+'CBPTINTK-17774 Annual Mortgage '!D136+'Securitization November 2025 Re'!D136+'CBPTINTK-2616 Renewal Due Dilig'!D136+'CBPTINTK-23406 Upgrade DDGS Sma'!D136+'CBPTINTK-4105 Client at Risk CR'!D136+'CBPTINTK-4313 Reverse Franchisi'!D136+'PBBT-22623 Eliminate IMDS Depen'!D136+'PBBT-22425 Excalibur LFA_PBBT-2'!D136+'PBBT-23552 Excalibur to RCDW Mo'!D136+'PBPT16393 Credit Maintenance Pl'!D136+'CBPTINTK-3965 - KC Optimization'!D136+'CBPTINTK-2800 IDP CA Foundation'!D136)</f>
        <v>#REF!</v>
      </c>
      <c r="E120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43'!E136+'ATM PH Release 37.5'!E136+'CBPTINT - 3291 CLP MVP 1 Renewa'!E136+#REF!+#REF!+'CBPTINTK-3069 Project Guardian'!E136+'CBPTINTK-3517 Property Insuranc'!E136+'CBPTINTK-4356 CB Enhancements A'!E136+'CBPTINTK-3796 CLD &amp; Repricing L'!E136+'CBPTINTK-23365 LCMS Funding Con'!E136+'PBBT-13832 DM Relationship 4,5,'!E136+'PBBT-23572 RESL POD Shift Left'!E136+'CBPTINTK-17774 Annual Mortgage '!E136+'Securitization November 2025 Re'!E136+'CBPTINTK-2616 Renewal Due Dilig'!E136+'CBPTINTK-23406 Upgrade DDGS Sma'!E136+'CBPTINTK-4105 Client at Risk CR'!E136+'CBPTINTK-4313 Reverse Franchisi'!E136+'PBBT-22623 Eliminate IMDS Depen'!E136+'PBBT-22425 Excalibur LFA_PBBT-2'!E136+'PBBT-23552 Excalibur to RCDW Mo'!E136+'PBPT16393 Credit Maintenance Pl'!E136+'CBPTINTK-3965 - KC Optimization'!E136+'CBPTINTK-2800 IDP CA Foundation'!E136)</f>
        <v>#REF!</v>
      </c>
      <c r="F120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43'!F136+'ATM PH Release 37.5'!F136+'CBPTINT - 3291 CLP MVP 1 Renewa'!F136+#REF!+#REF!+'CBPTINTK-3069 Project Guardian'!F136+'CBPTINTK-3517 Property Insuranc'!F136+'CBPTINTK-4356 CB Enhancements A'!F136+'CBPTINTK-3796 CLD &amp; Repricing L'!F136+'CBPTINTK-23365 LCMS Funding Con'!F136+'PBBT-13832 DM Relationship 4,5,'!F136+'PBBT-23572 RESL POD Shift Left'!F136+'CBPTINTK-17774 Annual Mortgage '!F136+'Securitization November 2025 Re'!F136+'CBPTINTK-2616 Renewal Due Dilig'!F136+'CBPTINTK-23406 Upgrade DDGS Sma'!F136+'CBPTINTK-4105 Client at Risk CR'!F136+'CBPTINTK-4313 Reverse Franchisi'!F136+'PBBT-22623 Eliminate IMDS Depen'!F136+'PBBT-22425 Excalibur LFA_PBBT-2'!F136+'PBBT-23552 Excalibur to RCDW Mo'!F136+'PBPT16393 Credit Maintenance Pl'!F136+'CBPTINTK-3965 - KC Optimization'!F136+'CBPTINTK-2800 IDP CA Foundation'!F136)</f>
        <v>#REF!</v>
      </c>
      <c r="G120" s="52"/>
      <c r="H120" s="52"/>
      <c r="I120" s="52"/>
      <c r="J120" s="52"/>
      <c r="K120" s="52"/>
      <c r="L120" s="52"/>
      <c r="M120" s="52"/>
      <c r="N120" s="52"/>
      <c r="O120" s="53"/>
    </row>
    <row r="121" spans="1:15">
      <c r="A121" s="113" t="s">
        <v>172</v>
      </c>
      <c r="B121" s="114"/>
      <c r="C121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43'!C137+'ATM PH Release 37.5'!C137+'CBPTINT - 3291 CLP MVP 1 Renewa'!C137+#REF!+#REF!+'CBPTINTK-3069 Project Guardian'!C137+'CBPTINTK-3517 Property Insuranc'!C137+'CBPTINTK-4356 CB Enhancements A'!C137+'CBPTINTK-3796 CLD &amp; Repricing L'!C137+'CBPTINTK-23365 LCMS Funding Con'!C137+'PBBT-13832 DM Relationship 4,5,'!C137+'PBBT-23572 RESL POD Shift Left'!C137+'CBPTINTK-17774 Annual Mortgage '!C137+'Securitization November 2025 Re'!C137+'CBPTINTK-2616 Renewal Due Dilig'!C137+'CBPTINTK-23406 Upgrade DDGS Sma'!C137+'CBPTINTK-4105 Client at Risk CR'!C137+'CBPTINTK-4313 Reverse Franchisi'!C137+'PBBT-22623 Eliminate IMDS Depen'!C137+'PBBT-22425 Excalibur LFA_PBBT-2'!C137+'PBBT-23552 Excalibur to RCDW Mo'!C137+'PBPT16393 Credit Maintenance Pl'!C137+'CBPTINTK-3965 - KC Optimization'!C137+'CBPTINTK-2800 IDP CA Foundation'!C137)</f>
        <v>#REF!</v>
      </c>
      <c r="D121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43'!D137+'ATM PH Release 37.5'!D137+'CBPTINT - 3291 CLP MVP 1 Renewa'!D137+#REF!+#REF!+'CBPTINTK-3069 Project Guardian'!D137+'CBPTINTK-3517 Property Insuranc'!D137+'CBPTINTK-4356 CB Enhancements A'!D137+'CBPTINTK-3796 CLD &amp; Repricing L'!D137+'CBPTINTK-23365 LCMS Funding Con'!D137+'PBBT-13832 DM Relationship 4,5,'!D137+'PBBT-23572 RESL POD Shift Left'!D137+'CBPTINTK-17774 Annual Mortgage '!D137+'Securitization November 2025 Re'!D137+'CBPTINTK-2616 Renewal Due Dilig'!D137+'CBPTINTK-23406 Upgrade DDGS Sma'!D137+'CBPTINTK-4105 Client at Risk CR'!D137+'CBPTINTK-4313 Reverse Franchisi'!D137+'PBBT-22623 Eliminate IMDS Depen'!D137+'PBBT-22425 Excalibur LFA_PBBT-2'!D137+'PBBT-23552 Excalibur to RCDW Mo'!D137+'PBPT16393 Credit Maintenance Pl'!D137+'CBPTINTK-3965 - KC Optimization'!D137+'CBPTINTK-2800 IDP CA Foundation'!D137)</f>
        <v>#REF!</v>
      </c>
      <c r="E121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43'!E137+'ATM PH Release 37.5'!E137+'CBPTINT - 3291 CLP MVP 1 Renewa'!E137+#REF!+#REF!+'CBPTINTK-3069 Project Guardian'!E137+'CBPTINTK-3517 Property Insuranc'!E137+'CBPTINTK-4356 CB Enhancements A'!E137+'CBPTINTK-3796 CLD &amp; Repricing L'!E137+'CBPTINTK-23365 LCMS Funding Con'!E137+'PBBT-13832 DM Relationship 4,5,'!E137+'PBBT-23572 RESL POD Shift Left'!E137+'CBPTINTK-17774 Annual Mortgage '!E137+'Securitization November 2025 Re'!E137+'CBPTINTK-2616 Renewal Due Dilig'!E137+'CBPTINTK-23406 Upgrade DDGS Sma'!E137+'CBPTINTK-4105 Client at Risk CR'!E137+'CBPTINTK-4313 Reverse Franchisi'!E137+'PBBT-22623 Eliminate IMDS Depen'!E137+'PBBT-22425 Excalibur LFA_PBBT-2'!E137+'PBBT-23552 Excalibur to RCDW Mo'!E137+'PBPT16393 Credit Maintenance Pl'!E137+'CBPTINTK-3965 - KC Optimization'!E137+'CBPTINTK-2800 IDP CA Foundation'!E137)</f>
        <v>#REF!</v>
      </c>
      <c r="F121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43'!F137+'ATM PH Release 37.5'!F137+'CBPTINT - 3291 CLP MVP 1 Renewa'!F137+#REF!+#REF!+'CBPTINTK-3069 Project Guardian'!F137+'CBPTINTK-3517 Property Insuranc'!F137+'CBPTINTK-4356 CB Enhancements A'!F137+'CBPTINTK-3796 CLD &amp; Repricing L'!F137+'CBPTINTK-23365 LCMS Funding Con'!F137+'PBBT-13832 DM Relationship 4,5,'!F137+'PBBT-23572 RESL POD Shift Left'!F137+'CBPTINTK-17774 Annual Mortgage '!F137+'Securitization November 2025 Re'!F137+'CBPTINTK-2616 Renewal Due Dilig'!F137+'CBPTINTK-23406 Upgrade DDGS Sma'!F137+'CBPTINTK-4105 Client at Risk CR'!F137+'CBPTINTK-4313 Reverse Franchisi'!F137+'PBBT-22623 Eliminate IMDS Depen'!F137+'PBBT-22425 Excalibur LFA_PBBT-2'!F137+'PBBT-23552 Excalibur to RCDW Mo'!F137+'PBPT16393 Credit Maintenance Pl'!F137+'CBPTINTK-3965 - KC Optimization'!F137+'CBPTINTK-2800 IDP CA Foundation'!F137)</f>
        <v>#REF!</v>
      </c>
      <c r="G121" s="52"/>
      <c r="H121" s="52"/>
      <c r="I121" s="52"/>
      <c r="J121" s="52"/>
      <c r="K121" s="52"/>
      <c r="L121" s="52"/>
      <c r="M121" s="52"/>
      <c r="N121" s="52"/>
      <c r="O121" s="53"/>
    </row>
    <row r="122" spans="1:15">
      <c r="A122" s="113" t="s">
        <v>173</v>
      </c>
      <c r="B122" s="114"/>
      <c r="C122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43'!C138+'ATM PH Release 37.5'!C138+'CBPTINT - 3291 CLP MVP 1 Renewa'!C138+#REF!+#REF!+'CBPTINTK-3069 Project Guardian'!C138+'CBPTINTK-3517 Property Insuranc'!C138+'CBPTINTK-4356 CB Enhancements A'!C138+'CBPTINTK-3796 CLD &amp; Repricing L'!C138+'CBPTINTK-23365 LCMS Funding Con'!C138+'PBBT-13832 DM Relationship 4,5,'!C138+'PBBT-23572 RESL POD Shift Left'!C138+'CBPTINTK-17774 Annual Mortgage '!C138+'Securitization November 2025 Re'!C138+'CBPTINTK-2616 Renewal Due Dilig'!C138+'CBPTINTK-23406 Upgrade DDGS Sma'!C138+'CBPTINTK-4105 Client at Risk CR'!C138+'CBPTINTK-4313 Reverse Franchisi'!C138+'PBBT-22623 Eliminate IMDS Depen'!C138+'PBBT-22425 Excalibur LFA_PBBT-2'!C138+'PBBT-23552 Excalibur to RCDW Mo'!C138+'PBPT16393 Credit Maintenance Pl'!C138+'CBPTINTK-3965 - KC Optimization'!C138+'CBPTINTK-2800 IDP CA Foundation'!C138)</f>
        <v>#REF!</v>
      </c>
      <c r="D122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43'!D138+'ATM PH Release 37.5'!D138+'CBPTINT - 3291 CLP MVP 1 Renewa'!D138+#REF!+#REF!+'CBPTINTK-3069 Project Guardian'!D138+'CBPTINTK-3517 Property Insuranc'!D138+'CBPTINTK-4356 CB Enhancements A'!D138+'CBPTINTK-3796 CLD &amp; Repricing L'!D138+'CBPTINTK-23365 LCMS Funding Con'!D138+'PBBT-13832 DM Relationship 4,5,'!D138+'PBBT-23572 RESL POD Shift Left'!D138+'CBPTINTK-17774 Annual Mortgage '!D138+'Securitization November 2025 Re'!D138+'CBPTINTK-2616 Renewal Due Dilig'!D138+'CBPTINTK-23406 Upgrade DDGS Sma'!D138+'CBPTINTK-4105 Client at Risk CR'!D138+'CBPTINTK-4313 Reverse Franchisi'!D138+'PBBT-22623 Eliminate IMDS Depen'!D138+'PBBT-22425 Excalibur LFA_PBBT-2'!D138+'PBBT-23552 Excalibur to RCDW Mo'!D138+'PBPT16393 Credit Maintenance Pl'!D138+'CBPTINTK-3965 - KC Optimization'!D138+'CBPTINTK-2800 IDP CA Foundation'!D138)</f>
        <v>#REF!</v>
      </c>
      <c r="E122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43'!E138+'ATM PH Release 37.5'!E138+'CBPTINT - 3291 CLP MVP 1 Renewa'!E138+#REF!+#REF!+'CBPTINTK-3069 Project Guardian'!E138+'CBPTINTK-3517 Property Insuranc'!E138+'CBPTINTK-4356 CB Enhancements A'!E138+'CBPTINTK-3796 CLD &amp; Repricing L'!E138+'CBPTINTK-23365 LCMS Funding Con'!E138+'PBBT-13832 DM Relationship 4,5,'!E138+'PBBT-23572 RESL POD Shift Left'!E138+'CBPTINTK-17774 Annual Mortgage '!E138+'Securitization November 2025 Re'!E138+'CBPTINTK-2616 Renewal Due Dilig'!E138+'CBPTINTK-23406 Upgrade DDGS Sma'!E138+'CBPTINTK-4105 Client at Risk CR'!E138+'CBPTINTK-4313 Reverse Franchisi'!E138+'PBBT-22623 Eliminate IMDS Depen'!E138+'PBBT-22425 Excalibur LFA_PBBT-2'!E138+'PBBT-23552 Excalibur to RCDW Mo'!E138+'PBPT16393 Credit Maintenance Pl'!E138+'CBPTINTK-3965 - KC Optimization'!E138+'CBPTINTK-2800 IDP CA Foundation'!E138)</f>
        <v>#REF!</v>
      </c>
      <c r="F122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43'!F138+'ATM PH Release 37.5'!F138+'CBPTINT - 3291 CLP MVP 1 Renewa'!F138+#REF!+#REF!+'CBPTINTK-3069 Project Guardian'!F138+'CBPTINTK-3517 Property Insuranc'!F138+'CBPTINTK-4356 CB Enhancements A'!F138+'CBPTINTK-3796 CLD &amp; Repricing L'!F138+'CBPTINTK-23365 LCMS Funding Con'!F138+'PBBT-13832 DM Relationship 4,5,'!F138+'PBBT-23572 RESL POD Shift Left'!F138+'CBPTINTK-17774 Annual Mortgage '!F138+'Securitization November 2025 Re'!F138+'CBPTINTK-2616 Renewal Due Dilig'!F138+'CBPTINTK-23406 Upgrade DDGS Sma'!F138+'CBPTINTK-4105 Client at Risk CR'!F138+'CBPTINTK-4313 Reverse Franchisi'!F138+'PBBT-22623 Eliminate IMDS Depen'!F138+'PBBT-22425 Excalibur LFA_PBBT-2'!F138+'PBBT-23552 Excalibur to RCDW Mo'!F138+'PBPT16393 Credit Maintenance Pl'!F138+'CBPTINTK-3965 - KC Optimization'!F138+'CBPTINTK-2800 IDP CA Foundation'!F138)</f>
        <v>#REF!</v>
      </c>
      <c r="G122" s="52"/>
      <c r="H122" s="52"/>
      <c r="I122" s="52"/>
      <c r="J122" s="52"/>
      <c r="K122" s="52"/>
      <c r="L122" s="52"/>
      <c r="M122" s="52"/>
      <c r="N122" s="52"/>
      <c r="O122" s="53"/>
    </row>
    <row r="123" spans="1:15">
      <c r="A123" s="113" t="s">
        <v>174</v>
      </c>
      <c r="B123" s="114"/>
      <c r="C123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43'!C139+'ATM PH Release 37.5'!C139+'CBPTINT - 3291 CLP MVP 1 Renewa'!C139+#REF!+#REF!+'CBPTINTK-3069 Project Guardian'!C139+'CBPTINTK-3517 Property Insuranc'!C139+'CBPTINTK-4356 CB Enhancements A'!C139+'CBPTINTK-3796 CLD &amp; Repricing L'!C139+'CBPTINTK-23365 LCMS Funding Con'!C139+'PBBT-13832 DM Relationship 4,5,'!C139+'PBBT-23572 RESL POD Shift Left'!C139+'CBPTINTK-17774 Annual Mortgage '!C139+'Securitization November 2025 Re'!C139+'CBPTINTK-2616 Renewal Due Dilig'!C139+'CBPTINTK-23406 Upgrade DDGS Sma'!C139+'CBPTINTK-4105 Client at Risk CR'!C139+'CBPTINTK-4313 Reverse Franchisi'!C139+'PBBT-22623 Eliminate IMDS Depen'!C139+'PBBT-22425 Excalibur LFA_PBBT-2'!C139+'PBBT-23552 Excalibur to RCDW Mo'!C139+'PBPT16393 Credit Maintenance Pl'!C139+'CBPTINTK-3965 - KC Optimization'!C139+'CBPTINTK-2800 IDP CA Foundation'!C139)</f>
        <v>#REF!</v>
      </c>
      <c r="D123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43'!D139+'ATM PH Release 37.5'!D139+'CBPTINT - 3291 CLP MVP 1 Renewa'!D139+#REF!+#REF!+'CBPTINTK-3069 Project Guardian'!D139+'CBPTINTK-3517 Property Insuranc'!D139+'CBPTINTK-4356 CB Enhancements A'!D139+'CBPTINTK-3796 CLD &amp; Repricing L'!D139+'CBPTINTK-23365 LCMS Funding Con'!D139+'PBBT-13832 DM Relationship 4,5,'!D139+'PBBT-23572 RESL POD Shift Left'!D139+'CBPTINTK-17774 Annual Mortgage '!D139+'Securitization November 2025 Re'!D139+'CBPTINTK-2616 Renewal Due Dilig'!D139+'CBPTINTK-23406 Upgrade DDGS Sma'!D139+'CBPTINTK-4105 Client at Risk CR'!D139+'CBPTINTK-4313 Reverse Franchisi'!D139+'PBBT-22623 Eliminate IMDS Depen'!D139+'PBBT-22425 Excalibur LFA_PBBT-2'!D139+'PBBT-23552 Excalibur to RCDW Mo'!D139+'PBPT16393 Credit Maintenance Pl'!D139+'CBPTINTK-3965 - KC Optimization'!D139+'CBPTINTK-2800 IDP CA Foundation'!D139)</f>
        <v>#REF!</v>
      </c>
      <c r="E123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43'!E139+'ATM PH Release 37.5'!E139+'CBPTINT - 3291 CLP MVP 1 Renewa'!E139+#REF!+#REF!+'CBPTINTK-3069 Project Guardian'!E139+'CBPTINTK-3517 Property Insuranc'!E139+'CBPTINTK-4356 CB Enhancements A'!E139+'CBPTINTK-3796 CLD &amp; Repricing L'!E139+'CBPTINTK-23365 LCMS Funding Con'!E139+'PBBT-13832 DM Relationship 4,5,'!E139+'PBBT-23572 RESL POD Shift Left'!E139+'CBPTINTK-17774 Annual Mortgage '!E139+'Securitization November 2025 Re'!E139+'CBPTINTK-2616 Renewal Due Dilig'!E139+'CBPTINTK-23406 Upgrade DDGS Sma'!E139+'CBPTINTK-4105 Client at Risk CR'!E139+'CBPTINTK-4313 Reverse Franchisi'!E139+'PBBT-22623 Eliminate IMDS Depen'!E139+'PBBT-22425 Excalibur LFA_PBBT-2'!E139+'PBBT-23552 Excalibur to RCDW Mo'!E139+'PBPT16393 Credit Maintenance Pl'!E139+'CBPTINTK-3965 - KC Optimization'!E139+'CBPTINTK-2800 IDP CA Foundation'!E139)</f>
        <v>#REF!</v>
      </c>
      <c r="F123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43'!F139+'ATM PH Release 37.5'!F139+'CBPTINT - 3291 CLP MVP 1 Renewa'!F139+#REF!+#REF!+'CBPTINTK-3069 Project Guardian'!F139+'CBPTINTK-3517 Property Insuranc'!F139+'CBPTINTK-4356 CB Enhancements A'!F139+'CBPTINTK-3796 CLD &amp; Repricing L'!F139+'CBPTINTK-23365 LCMS Funding Con'!F139+'PBBT-13832 DM Relationship 4,5,'!F139+'PBBT-23572 RESL POD Shift Left'!F139+'CBPTINTK-17774 Annual Mortgage '!F139+'Securitization November 2025 Re'!F139+'CBPTINTK-2616 Renewal Due Dilig'!F139+'CBPTINTK-23406 Upgrade DDGS Sma'!F139+'CBPTINTK-4105 Client at Risk CR'!F139+'CBPTINTK-4313 Reverse Franchisi'!F139+'PBBT-22623 Eliminate IMDS Depen'!F139+'PBBT-22425 Excalibur LFA_PBBT-2'!F139+'PBBT-23552 Excalibur to RCDW Mo'!F139+'PBPT16393 Credit Maintenance Pl'!F139+'CBPTINTK-3965 - KC Optimization'!F139+'CBPTINTK-2800 IDP CA Foundation'!F139)</f>
        <v>#REF!</v>
      </c>
      <c r="G123" s="52"/>
      <c r="H123" s="52"/>
      <c r="I123" s="52"/>
      <c r="J123" s="52"/>
      <c r="K123" s="52"/>
      <c r="L123" s="52"/>
      <c r="M123" s="52"/>
      <c r="N123" s="52"/>
      <c r="O123" s="53"/>
    </row>
    <row r="124" spans="1:15">
      <c r="A124" s="121" t="s">
        <v>175</v>
      </c>
      <c r="B124" s="122"/>
      <c r="C124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43'!C140+'ATM PH Release 37.5'!C140+'CBPTINT - 3291 CLP MVP 1 Renewa'!C140+#REF!+#REF!+'CBPTINTK-3069 Project Guardian'!C140+'CBPTINTK-3517 Property Insuranc'!C140+'CBPTINTK-4356 CB Enhancements A'!C140+'CBPTINTK-3796 CLD &amp; Repricing L'!C140+'CBPTINTK-23365 LCMS Funding Con'!C140+'PBBT-13832 DM Relationship 4,5,'!C140+'PBBT-23572 RESL POD Shift Left'!C140+'CBPTINTK-17774 Annual Mortgage '!C140+'Securitization November 2025 Re'!C140+'CBPTINTK-2616 Renewal Due Dilig'!C140+'CBPTINTK-23406 Upgrade DDGS Sma'!C140+'CBPTINTK-4105 Client at Risk CR'!C140+'CBPTINTK-4313 Reverse Franchisi'!C140+'PBBT-22623 Eliminate IMDS Depen'!C140+'PBBT-22425 Excalibur LFA_PBBT-2'!C140+'PBBT-23552 Excalibur to RCDW Mo'!C140+'PBPT16393 Credit Maintenance Pl'!C140+'CBPTINTK-3965 - KC Optimization'!C140+'CBPTINTK-2800 IDP CA Foundation'!C140)</f>
        <v>#REF!</v>
      </c>
      <c r="D124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43'!D140+'ATM PH Release 37.5'!D140+'CBPTINT - 3291 CLP MVP 1 Renewa'!D140+#REF!+#REF!+'CBPTINTK-3069 Project Guardian'!D140+'CBPTINTK-3517 Property Insuranc'!D140+'CBPTINTK-4356 CB Enhancements A'!D140+'CBPTINTK-3796 CLD &amp; Repricing L'!D140+'CBPTINTK-23365 LCMS Funding Con'!D140+'PBBT-13832 DM Relationship 4,5,'!D140+'PBBT-23572 RESL POD Shift Left'!D140+'CBPTINTK-17774 Annual Mortgage '!D140+'Securitization November 2025 Re'!D140+'CBPTINTK-2616 Renewal Due Dilig'!D140+'CBPTINTK-23406 Upgrade DDGS Sma'!D140+'CBPTINTK-4105 Client at Risk CR'!D140+'CBPTINTK-4313 Reverse Franchisi'!D140+'PBBT-22623 Eliminate IMDS Depen'!D140+'PBBT-22425 Excalibur LFA_PBBT-2'!D140+'PBBT-23552 Excalibur to RCDW Mo'!D140+'PBPT16393 Credit Maintenance Pl'!D140+'CBPTINTK-3965 - KC Optimization'!D140+'CBPTINTK-2800 IDP CA Foundation'!D140)</f>
        <v>#REF!</v>
      </c>
      <c r="E124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43'!E140+'ATM PH Release 37.5'!E140+'CBPTINT - 3291 CLP MVP 1 Renewa'!E140+#REF!+#REF!+'CBPTINTK-3069 Project Guardian'!E140+'CBPTINTK-3517 Property Insuranc'!E140+'CBPTINTK-4356 CB Enhancements A'!E140+'CBPTINTK-3796 CLD &amp; Repricing L'!E140+'CBPTINTK-23365 LCMS Funding Con'!E140+'PBBT-13832 DM Relationship 4,5,'!E140+'PBBT-23572 RESL POD Shift Left'!E140+'CBPTINTK-17774 Annual Mortgage '!E140+'Securitization November 2025 Re'!E140+'CBPTINTK-2616 Renewal Due Dilig'!E140+'CBPTINTK-23406 Upgrade DDGS Sma'!E140+'CBPTINTK-4105 Client at Risk CR'!E140+'CBPTINTK-4313 Reverse Franchisi'!E140+'PBBT-22623 Eliminate IMDS Depen'!E140+'PBBT-22425 Excalibur LFA_PBBT-2'!E140+'PBBT-23552 Excalibur to RCDW Mo'!E140+'PBPT16393 Credit Maintenance Pl'!E140+'CBPTINTK-3965 - KC Optimization'!E140+'CBPTINTK-2800 IDP CA Foundation'!E140)</f>
        <v>#REF!</v>
      </c>
      <c r="F124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43'!F140+'ATM PH Release 37.5'!F140+'CBPTINT - 3291 CLP MVP 1 Renewa'!F140+#REF!+#REF!+'CBPTINTK-3069 Project Guardian'!F140+'CBPTINTK-3517 Property Insuranc'!F140+'CBPTINTK-4356 CB Enhancements A'!F140+'CBPTINTK-3796 CLD &amp; Repricing L'!F140+'CBPTINTK-23365 LCMS Funding Con'!F140+'PBBT-13832 DM Relationship 4,5,'!F140+'PBBT-23572 RESL POD Shift Left'!F140+'CBPTINTK-17774 Annual Mortgage '!F140+'Securitization November 2025 Re'!F140+'CBPTINTK-2616 Renewal Due Dilig'!F140+'CBPTINTK-23406 Upgrade DDGS Sma'!F140+'CBPTINTK-4105 Client at Risk CR'!F140+'CBPTINTK-4313 Reverse Franchisi'!F140+'PBBT-22623 Eliminate IMDS Depen'!F140+'PBBT-22425 Excalibur LFA_PBBT-2'!F140+'PBBT-23552 Excalibur to RCDW Mo'!F140+'PBPT16393 Credit Maintenance Pl'!F140+'CBPTINTK-3965 - KC Optimization'!F140+'CBPTINTK-2800 IDP CA Foundation'!F140)</f>
        <v>#REF!</v>
      </c>
      <c r="G124" s="52"/>
      <c r="H124" s="52"/>
      <c r="I124" s="52"/>
      <c r="J124" s="52"/>
      <c r="K124" s="52"/>
      <c r="L124" s="52"/>
      <c r="M124" s="52"/>
      <c r="N124" s="52"/>
      <c r="O124" s="53"/>
    </row>
    <row r="125" spans="1:15">
      <c r="A125" s="121" t="s">
        <v>176</v>
      </c>
      <c r="B125" s="122"/>
      <c r="C125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43'!C141+'ATM PH Release 37.5'!C141+'CBPTINT - 3291 CLP MVP 1 Renewa'!C141+#REF!+#REF!+'CBPTINTK-3069 Project Guardian'!C141+'CBPTINTK-3517 Property Insuranc'!C141+'CBPTINTK-4356 CB Enhancements A'!C141+'CBPTINTK-3796 CLD &amp; Repricing L'!C141+'CBPTINTK-23365 LCMS Funding Con'!C141+'PBBT-13832 DM Relationship 4,5,'!C141+'PBBT-23572 RESL POD Shift Left'!C141+'CBPTINTK-17774 Annual Mortgage '!C141+'Securitization November 2025 Re'!C141+'CBPTINTK-2616 Renewal Due Dilig'!C141+'CBPTINTK-23406 Upgrade DDGS Sma'!C141+'CBPTINTK-4105 Client at Risk CR'!C141+'CBPTINTK-4313 Reverse Franchisi'!C141+'PBBT-22623 Eliminate IMDS Depen'!C141+'PBBT-22425 Excalibur LFA_PBBT-2'!C141+'PBBT-23552 Excalibur to RCDW Mo'!C141+'PBPT16393 Credit Maintenance Pl'!C141+'CBPTINTK-3965 - KC Optimization'!C141+'CBPTINTK-2800 IDP CA Foundation'!C141)</f>
        <v>#REF!</v>
      </c>
      <c r="D125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43'!D141+'ATM PH Release 37.5'!D141+'CBPTINT - 3291 CLP MVP 1 Renewa'!D141+#REF!+#REF!+'CBPTINTK-3069 Project Guardian'!D141+'CBPTINTK-3517 Property Insuranc'!D141+'CBPTINTK-4356 CB Enhancements A'!D141+'CBPTINTK-3796 CLD &amp; Repricing L'!D141+'CBPTINTK-23365 LCMS Funding Con'!D141+'PBBT-13832 DM Relationship 4,5,'!D141+'PBBT-23572 RESL POD Shift Left'!D141+'CBPTINTK-17774 Annual Mortgage '!D141+'Securitization November 2025 Re'!D141+'CBPTINTK-2616 Renewal Due Dilig'!D141+'CBPTINTK-23406 Upgrade DDGS Sma'!D141+'CBPTINTK-4105 Client at Risk CR'!D141+'CBPTINTK-4313 Reverse Franchisi'!D141+'PBBT-22623 Eliminate IMDS Depen'!D141+'PBBT-22425 Excalibur LFA_PBBT-2'!D141+'PBBT-23552 Excalibur to RCDW Mo'!D141+'PBPT16393 Credit Maintenance Pl'!D141+'CBPTINTK-3965 - KC Optimization'!D141+'CBPTINTK-2800 IDP CA Foundation'!D141)</f>
        <v>#REF!</v>
      </c>
      <c r="E125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43'!E141+'ATM PH Release 37.5'!E141+'CBPTINT - 3291 CLP MVP 1 Renewa'!E141+#REF!+#REF!+'CBPTINTK-3069 Project Guardian'!E141+'CBPTINTK-3517 Property Insuranc'!E141+'CBPTINTK-4356 CB Enhancements A'!E141+'CBPTINTK-3796 CLD &amp; Repricing L'!E141+'CBPTINTK-23365 LCMS Funding Con'!E141+'PBBT-13832 DM Relationship 4,5,'!E141+'PBBT-23572 RESL POD Shift Left'!E141+'CBPTINTK-17774 Annual Mortgage '!E141+'Securitization November 2025 Re'!E141+'CBPTINTK-2616 Renewal Due Dilig'!E141+'CBPTINTK-23406 Upgrade DDGS Sma'!E141+'CBPTINTK-4105 Client at Risk CR'!E141+'CBPTINTK-4313 Reverse Franchisi'!E141+'PBBT-22623 Eliminate IMDS Depen'!E141+'PBBT-22425 Excalibur LFA_PBBT-2'!E141+'PBBT-23552 Excalibur to RCDW Mo'!E141+'PBPT16393 Credit Maintenance Pl'!E141+'CBPTINTK-3965 - KC Optimization'!E141+'CBPTINTK-2800 IDP CA Foundation'!E141)</f>
        <v>#REF!</v>
      </c>
      <c r="F125" s="75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43'!F141+'ATM PH Release 37.5'!F141+'CBPTINT - 3291 CLP MVP 1 Renewa'!F141+#REF!+#REF!+'CBPTINTK-3069 Project Guardian'!F141+'CBPTINTK-3517 Property Insuranc'!F141+'CBPTINTK-4356 CB Enhancements A'!F141+'CBPTINTK-3796 CLD &amp; Repricing L'!F141+'CBPTINTK-23365 LCMS Funding Con'!F141+'PBBT-13832 DM Relationship 4,5,'!F141+'PBBT-23572 RESL POD Shift Left'!F141+'CBPTINTK-17774 Annual Mortgage '!F141+'Securitization November 2025 Re'!F141+'CBPTINTK-2616 Renewal Due Dilig'!F141+'CBPTINTK-23406 Upgrade DDGS Sma'!F141+'CBPTINTK-4105 Client at Risk CR'!F141+'CBPTINTK-4313 Reverse Franchisi'!F141+'PBBT-22623 Eliminate IMDS Depen'!F141+'PBBT-22425 Excalibur LFA_PBBT-2'!F141+'PBBT-23552 Excalibur to RCDW Mo'!F141+'PBPT16393 Credit Maintenance Pl'!F141+'CBPTINTK-3965 - KC Optimization'!F141+'CBPTINTK-2800 IDP CA Foundation'!F141)</f>
        <v>#REF!</v>
      </c>
      <c r="G125" s="52"/>
      <c r="H125" s="52"/>
      <c r="I125" s="52"/>
      <c r="J125" s="52"/>
      <c r="K125" s="52"/>
      <c r="L125" s="52"/>
      <c r="M125" s="52"/>
      <c r="N125" s="52"/>
      <c r="O125" s="53"/>
    </row>
    <row r="126" spans="1:15">
      <c r="A126" s="117" t="s">
        <v>149</v>
      </c>
      <c r="B126" s="118"/>
      <c r="C126" s="76" t="e">
        <f>SUM(C113:C125)</f>
        <v>#REF!</v>
      </c>
      <c r="D126" s="76" t="e">
        <f t="shared" ref="D126:F126" si="2">SUM(D113:D125)</f>
        <v>#REF!</v>
      </c>
      <c r="E126" s="76" t="e">
        <f t="shared" si="2"/>
        <v>#REF!</v>
      </c>
      <c r="F126" s="76" t="e">
        <f t="shared" si="2"/>
        <v>#REF!</v>
      </c>
      <c r="G126" s="52"/>
      <c r="H126" s="52"/>
      <c r="I126" s="52"/>
      <c r="J126" s="52"/>
      <c r="K126" s="52"/>
      <c r="L126" s="52"/>
      <c r="M126" s="52"/>
      <c r="N126" s="52"/>
      <c r="O126" s="53"/>
    </row>
    <row r="127" spans="1:15">
      <c r="A127" s="77"/>
      <c r="B127" s="78"/>
      <c r="C127" s="62"/>
      <c r="D127" s="62"/>
      <c r="E127" s="62"/>
      <c r="F127" s="62"/>
      <c r="G127" s="52"/>
      <c r="H127" s="52"/>
      <c r="I127" s="52"/>
      <c r="J127" s="52"/>
      <c r="K127" s="52"/>
      <c r="L127" s="52"/>
      <c r="M127" s="52"/>
      <c r="N127" s="52"/>
      <c r="O127" s="53"/>
    </row>
    <row r="128" spans="1:15">
      <c r="A128" s="5"/>
      <c r="B128" s="26"/>
      <c r="C128" s="26"/>
      <c r="D128" s="26"/>
      <c r="E128" s="26"/>
      <c r="F128" s="52"/>
      <c r="G128" s="52"/>
      <c r="H128" s="52"/>
      <c r="I128" s="52"/>
      <c r="J128" s="52"/>
      <c r="K128" s="52"/>
      <c r="L128" s="52"/>
      <c r="M128" s="52"/>
      <c r="N128" s="52"/>
      <c r="O128" s="53"/>
    </row>
    <row r="129" spans="1:15">
      <c r="A129" s="108" t="s">
        <v>177</v>
      </c>
      <c r="B129" s="108"/>
      <c r="C129" s="26"/>
      <c r="D129" s="26"/>
      <c r="E129" s="26"/>
      <c r="F129" s="52"/>
      <c r="G129" s="52"/>
      <c r="H129" s="52"/>
      <c r="I129" s="52"/>
      <c r="J129" s="52"/>
      <c r="K129" s="52"/>
      <c r="L129" s="52"/>
      <c r="M129" s="52"/>
      <c r="N129" s="52"/>
      <c r="O129" s="53"/>
    </row>
    <row r="130" spans="1:15">
      <c r="A130" s="7"/>
      <c r="B130" s="21" t="s">
        <v>178</v>
      </c>
      <c r="C130" s="21" t="s">
        <v>179</v>
      </c>
      <c r="D130" s="21" t="s">
        <v>180</v>
      </c>
      <c r="E130" s="21" t="s">
        <v>181</v>
      </c>
      <c r="F130" s="32" t="s">
        <v>182</v>
      </c>
      <c r="G130" s="21" t="s">
        <v>149</v>
      </c>
      <c r="H130" s="52"/>
      <c r="I130" s="52"/>
      <c r="J130" s="52"/>
      <c r="K130" s="52"/>
      <c r="L130" s="52"/>
      <c r="M130" s="52"/>
      <c r="N130" s="52"/>
      <c r="O130" s="53"/>
    </row>
    <row r="131" spans="1:15">
      <c r="A131" s="9" t="s">
        <v>183</v>
      </c>
      <c r="B131" s="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43'!B147+'ATM PH Release 37.5'!B147+'CBPTINT - 3291 CLP MVP 1 Renewa'!B147+#REF!+#REF!+'CBPTINTK-3069 Project Guardian'!B147+'CBPTINTK-3517 Property Insuranc'!B147+'CBPTINTK-4356 CB Enhancements A'!B147+'CBPTINTK-3796 CLD &amp; Repricing L'!B147+'CBPTINTK-23365 LCMS Funding Con'!B147+'PBBT-13832 DM Relationship 4,5,'!B147+'PBBT-23572 RESL POD Shift Left'!B147+'CBPTINTK-17774 Annual Mortgage '!B147+'Securitization November 2025 Re'!B147+'CBPTINTK-2616 Renewal Due Dilig'!B147+'CBPTINTK-23406 Upgrade DDGS Sma'!B147+'CBPTINTK-4105 Client at Risk CR'!B147+'CBPTINTK-4313 Reverse Franchisi'!B147+'PBBT-22623 Eliminate IMDS Depen'!B147+'PBBT-22425 Excalibur LFA_PBBT-2'!B147+'PBBT-23552 Excalibur to RCDW Mo'!B147+'PBPT16393 Credit Maintenance Pl'!B147+'CBPTINTK-3965 - KC Optimization'!B147+'CBPTINTK-2800 IDP CA Foundation'!B147)</f>
        <v>#REF!</v>
      </c>
      <c r="C131" s="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43'!C147+'ATM PH Release 37.5'!C147+'CBPTINT - 3291 CLP MVP 1 Renewa'!C147+#REF!+#REF!+'CBPTINTK-3069 Project Guardian'!C147+'CBPTINTK-3517 Property Insuranc'!C147+'CBPTINTK-4356 CB Enhancements A'!C147+'CBPTINTK-3796 CLD &amp; Repricing L'!C147+'CBPTINTK-23365 LCMS Funding Con'!C147+'PBBT-13832 DM Relationship 4,5,'!C147+'PBBT-23572 RESL POD Shift Left'!C147+'CBPTINTK-17774 Annual Mortgage '!C147+'Securitization November 2025 Re'!C147+'CBPTINTK-2616 Renewal Due Dilig'!C147+'CBPTINTK-23406 Upgrade DDGS Sma'!C147+'CBPTINTK-4105 Client at Risk CR'!C147+'CBPTINTK-4313 Reverse Franchisi'!C147+'PBBT-22623 Eliminate IMDS Depen'!C147+'PBBT-22425 Excalibur LFA_PBBT-2'!C147+'PBBT-23552 Excalibur to RCDW Mo'!C147+'PBPT16393 Credit Maintenance Pl'!C147+'CBPTINTK-3965 - KC Optimization'!C147+'CBPTINTK-2800 IDP CA Foundation'!C147)</f>
        <v>#REF!</v>
      </c>
      <c r="D131" s="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43'!D147+'ATM PH Release 37.5'!D147+'CBPTINT - 3291 CLP MVP 1 Renewa'!D147+#REF!+#REF!+'CBPTINTK-3069 Project Guardian'!D147+'CBPTINTK-3517 Property Insuranc'!D147+'CBPTINTK-4356 CB Enhancements A'!D147+'CBPTINTK-3796 CLD &amp; Repricing L'!D147+'CBPTINTK-23365 LCMS Funding Con'!D147+'PBBT-13832 DM Relationship 4,5,'!D147+'PBBT-23572 RESL POD Shift Left'!D147+'CBPTINTK-17774 Annual Mortgage '!D147+'Securitization November 2025 Re'!D147+'CBPTINTK-2616 Renewal Due Dilig'!D147+'CBPTINTK-23406 Upgrade DDGS Sma'!D147+'CBPTINTK-4105 Client at Risk CR'!D147+'CBPTINTK-4313 Reverse Franchisi'!D147+'PBBT-22623 Eliminate IMDS Depen'!D147+'PBBT-22425 Excalibur LFA_PBBT-2'!D147+'PBBT-23552 Excalibur to RCDW Mo'!D147+'PBPT16393 Credit Maintenance Pl'!D147+'CBPTINTK-3965 - KC Optimization'!D147+'CBPTINTK-2800 IDP CA Foundation'!D147)</f>
        <v>#REF!</v>
      </c>
      <c r="E131" s="4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43'!E147+'ATM PH Release 37.5'!E147+'CBPTINT - 3291 CLP MVP 1 Renewa'!E147+#REF!+#REF!+'CBPTINTK-3069 Project Guardian'!E147+'CBPTINTK-3517 Property Insuranc'!E147+'CBPTINTK-4356 CB Enhancements A'!E147+'CBPTINTK-3796 CLD &amp; Repricing L'!E147+'CBPTINTK-23365 LCMS Funding Con'!E147+'PBBT-13832 DM Relationship 4,5,'!E147+'PBBT-23572 RESL POD Shift Left'!E147+'CBPTINTK-17774 Annual Mortgage '!E147+'Securitization November 2025 Re'!E147+'CBPTINTK-2616 Renewal Due Dilig'!E147+'CBPTINTK-23406 Upgrade DDGS Sma'!E147+'CBPTINTK-4105 Client at Risk CR'!E147+'CBPTINTK-4313 Reverse Franchisi'!E147+'PBBT-22623 Eliminate IMDS Depen'!E147+'PBBT-22425 Excalibur LFA_PBBT-2'!E147+'PBBT-23552 Excalibur to RCDW Mo'!E147+'PBPT16393 Credit Maintenance Pl'!E147+'CBPTINTK-3965 - KC Optimization'!E147+'CBPTINTK-2800 IDP CA Foundation'!E147)</f>
        <v>#REF!</v>
      </c>
      <c r="F131" s="3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43'!F147+'ATM PH Release 37.5'!F147+'CBPTINT - 3291 CLP MVP 1 Renewa'!F147+#REF!+#REF!+'CBPTINTK-3069 Project Guardian'!F147+'CBPTINTK-3517 Property Insuranc'!F147+'CBPTINTK-4356 CB Enhancements A'!F147+'CBPTINTK-3796 CLD &amp; Repricing L'!F147+'CBPTINTK-23365 LCMS Funding Con'!F147+'PBBT-13832 DM Relationship 4,5,'!F147+'PBBT-23572 RESL POD Shift Left'!F147+'CBPTINTK-17774 Annual Mortgage '!F147+'Securitization November 2025 Re'!F147+'CBPTINTK-2616 Renewal Due Dilig'!F147+'CBPTINTK-23406 Upgrade DDGS Sma'!F147+'CBPTINTK-4105 Client at Risk CR'!F147+'CBPTINTK-4313 Reverse Franchisi'!F147+'PBBT-22623 Eliminate IMDS Depen'!F147+'PBBT-22425 Excalibur LFA_PBBT-2'!F147+'PBBT-23552 Excalibur to RCDW Mo'!F147+'PBPT16393 Credit Maintenance Pl'!F147+'CBPTINTK-3965 - KC Optimization'!F147+'CBPTINTK-2800 IDP CA Foundation'!F147)</f>
        <v>#REF!</v>
      </c>
      <c r="G131" s="8" t="e">
        <f>SUM(B131:E131)</f>
        <v>#REF!</v>
      </c>
      <c r="H131" s="52"/>
      <c r="I131" s="52"/>
      <c r="J131" s="52"/>
      <c r="K131" s="52"/>
      <c r="L131" s="52"/>
      <c r="M131" s="52"/>
      <c r="N131" s="52"/>
      <c r="O131" s="53"/>
    </row>
    <row r="132" spans="1:15">
      <c r="A132" s="9" t="s">
        <v>184</v>
      </c>
      <c r="B132" s="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43'!B148+'ATM PH Release 37.5'!B148+'CBPTINT - 3291 CLP MVP 1 Renewa'!B148+#REF!+#REF!+'CBPTINTK-3069 Project Guardian'!B148+'CBPTINTK-3517 Property Insuranc'!B148+'CBPTINTK-4356 CB Enhancements A'!B148+'CBPTINTK-3796 CLD &amp; Repricing L'!B148+'CBPTINTK-23365 LCMS Funding Con'!B148+'PBBT-13832 DM Relationship 4,5,'!B148+'PBBT-23572 RESL POD Shift Left'!B148+'CBPTINTK-17774 Annual Mortgage '!B148+'Securitization November 2025 Re'!B148+'CBPTINTK-2616 Renewal Due Dilig'!B148+'CBPTINTK-23406 Upgrade DDGS Sma'!B148+'CBPTINTK-4105 Client at Risk CR'!B148+'CBPTINTK-4313 Reverse Franchisi'!B148+'PBBT-22623 Eliminate IMDS Depen'!B148+'PBBT-22425 Excalibur LFA_PBBT-2'!B148+'PBBT-23552 Excalibur to RCDW Mo'!B148+'PBPT16393 Credit Maintenance Pl'!B148+'CBPTINTK-3965 - KC Optimization'!B148+'CBPTINTK-2800 IDP CA Foundation'!B148)</f>
        <v>#REF!</v>
      </c>
      <c r="C132" s="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43'!C148+'ATM PH Release 37.5'!C148+'CBPTINT - 3291 CLP MVP 1 Renewa'!C148+#REF!+#REF!+'CBPTINTK-3069 Project Guardian'!C148+'CBPTINTK-3517 Property Insuranc'!C148+'CBPTINTK-4356 CB Enhancements A'!C148+'CBPTINTK-3796 CLD &amp; Repricing L'!C148+'CBPTINTK-23365 LCMS Funding Con'!C148+'PBBT-13832 DM Relationship 4,5,'!C148+'PBBT-23572 RESL POD Shift Left'!C148+'CBPTINTK-17774 Annual Mortgage '!C148+'Securitization November 2025 Re'!C148+'CBPTINTK-2616 Renewal Due Dilig'!C148+'CBPTINTK-23406 Upgrade DDGS Sma'!C148+'CBPTINTK-4105 Client at Risk CR'!C148+'CBPTINTK-4313 Reverse Franchisi'!C148+'PBBT-22623 Eliminate IMDS Depen'!C148+'PBBT-22425 Excalibur LFA_PBBT-2'!C148+'PBBT-23552 Excalibur to RCDW Mo'!C148+'PBPT16393 Credit Maintenance Pl'!C148+'CBPTINTK-3965 - KC Optimization'!C148+'CBPTINTK-2800 IDP CA Foundation'!C148)</f>
        <v>#REF!</v>
      </c>
      <c r="D132" s="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43'!D148+'ATM PH Release 37.5'!D148+'CBPTINT - 3291 CLP MVP 1 Renewa'!D148+#REF!+#REF!+'CBPTINTK-3069 Project Guardian'!D148+'CBPTINTK-3517 Property Insuranc'!D148+'CBPTINTK-4356 CB Enhancements A'!D148+'CBPTINTK-3796 CLD &amp; Repricing L'!D148+'CBPTINTK-23365 LCMS Funding Con'!D148+'PBBT-13832 DM Relationship 4,5,'!D148+'PBBT-23572 RESL POD Shift Left'!D148+'CBPTINTK-17774 Annual Mortgage '!D148+'Securitization November 2025 Re'!D148+'CBPTINTK-2616 Renewal Due Dilig'!D148+'CBPTINTK-23406 Upgrade DDGS Sma'!D148+'CBPTINTK-4105 Client at Risk CR'!D148+'CBPTINTK-4313 Reverse Franchisi'!D148+'PBBT-22623 Eliminate IMDS Depen'!D148+'PBBT-22425 Excalibur LFA_PBBT-2'!D148+'PBBT-23552 Excalibur to RCDW Mo'!D148+'PBPT16393 Credit Maintenance Pl'!D148+'CBPTINTK-3965 - KC Optimization'!D148+'CBPTINTK-2800 IDP CA Foundation'!D148)</f>
        <v>#REF!</v>
      </c>
      <c r="E132" s="4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43'!E148+'ATM PH Release 37.5'!E148+'CBPTINT - 3291 CLP MVP 1 Renewa'!E148+#REF!+#REF!+'CBPTINTK-3069 Project Guardian'!E148+'CBPTINTK-3517 Property Insuranc'!E148+'CBPTINTK-4356 CB Enhancements A'!E148+'CBPTINTK-3796 CLD &amp; Repricing L'!E148+'CBPTINTK-23365 LCMS Funding Con'!E148+'PBBT-13832 DM Relationship 4,5,'!E148+'PBBT-23572 RESL POD Shift Left'!E148+'CBPTINTK-17774 Annual Mortgage '!E148+'Securitization November 2025 Re'!E148+'CBPTINTK-2616 Renewal Due Dilig'!E148+'CBPTINTK-23406 Upgrade DDGS Sma'!E148+'CBPTINTK-4105 Client at Risk CR'!E148+'CBPTINTK-4313 Reverse Franchisi'!E148+'PBBT-22623 Eliminate IMDS Depen'!E148+'PBBT-22425 Excalibur LFA_PBBT-2'!E148+'PBBT-23552 Excalibur to RCDW Mo'!E148+'PBPT16393 Credit Maintenance Pl'!E148+'CBPTINTK-3965 - KC Optimization'!E148+'CBPTINTK-2800 IDP CA Foundation'!E148)</f>
        <v>#REF!</v>
      </c>
      <c r="F132" s="3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43'!F148+'ATM PH Release 37.5'!F148+'CBPTINT - 3291 CLP MVP 1 Renewa'!F148+#REF!+#REF!+'CBPTINTK-3069 Project Guardian'!F148+'CBPTINTK-3517 Property Insuranc'!F148+'CBPTINTK-4356 CB Enhancements A'!F148+'CBPTINTK-3796 CLD &amp; Repricing L'!F148+'CBPTINTK-23365 LCMS Funding Con'!F148+'PBBT-13832 DM Relationship 4,5,'!F148+'PBBT-23572 RESL POD Shift Left'!F148+'CBPTINTK-17774 Annual Mortgage '!F148+'Securitization November 2025 Re'!F148+'CBPTINTK-2616 Renewal Due Dilig'!F148+'CBPTINTK-23406 Upgrade DDGS Sma'!F148+'CBPTINTK-4105 Client at Risk CR'!F148+'CBPTINTK-4313 Reverse Franchisi'!F148+'PBBT-22623 Eliminate IMDS Depen'!F148+'PBBT-22425 Excalibur LFA_PBBT-2'!F148+'PBBT-23552 Excalibur to RCDW Mo'!F148+'PBPT16393 Credit Maintenance Pl'!F148+'CBPTINTK-3965 - KC Optimization'!F148+'CBPTINTK-2800 IDP CA Foundation'!F148)</f>
        <v>#REF!</v>
      </c>
      <c r="G132" s="8" t="e">
        <f>SUM(B132:E132)</f>
        <v>#REF!</v>
      </c>
      <c r="H132" s="52"/>
      <c r="I132" s="52"/>
      <c r="J132" s="52"/>
      <c r="K132" s="52"/>
      <c r="L132" s="52"/>
      <c r="M132" s="52"/>
      <c r="N132" s="52"/>
      <c r="O132" s="53"/>
    </row>
    <row r="133" spans="1:15">
      <c r="A133" s="9" t="s">
        <v>185</v>
      </c>
      <c r="B133" s="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43'!B149+'ATM PH Release 37.5'!B149+'CBPTINT - 3291 CLP MVP 1 Renewa'!B149+#REF!+#REF!+'CBPTINTK-3069 Project Guardian'!B149+'CBPTINTK-3517 Property Insuranc'!B149+'CBPTINTK-4356 CB Enhancements A'!B149+'CBPTINTK-3796 CLD &amp; Repricing L'!B149+'CBPTINTK-23365 LCMS Funding Con'!B149+'PBBT-13832 DM Relationship 4,5,'!B149+'PBBT-23572 RESL POD Shift Left'!B149+'CBPTINTK-17774 Annual Mortgage '!B149+'Securitization November 2025 Re'!B149+'CBPTINTK-2616 Renewal Due Dilig'!B149+'CBPTINTK-23406 Upgrade DDGS Sma'!B149+'CBPTINTK-4105 Client at Risk CR'!B149+'CBPTINTK-4313 Reverse Franchisi'!B149+'PBBT-22623 Eliminate IMDS Depen'!B149+'PBBT-22425 Excalibur LFA_PBBT-2'!B149+'PBBT-23552 Excalibur to RCDW Mo'!B149+'PBPT16393 Credit Maintenance Pl'!B149+'CBPTINTK-3965 - KC Optimization'!B149+'CBPTINTK-2800 IDP CA Foundation'!B149)</f>
        <v>#REF!</v>
      </c>
      <c r="C133" s="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43'!C149+'ATM PH Release 37.5'!C149+'CBPTINT - 3291 CLP MVP 1 Renewa'!C149+#REF!+#REF!+'CBPTINTK-3069 Project Guardian'!C149+'CBPTINTK-3517 Property Insuranc'!C149+'CBPTINTK-4356 CB Enhancements A'!C149+'CBPTINTK-3796 CLD &amp; Repricing L'!C149+'CBPTINTK-23365 LCMS Funding Con'!C149+'PBBT-13832 DM Relationship 4,5,'!C149+'PBBT-23572 RESL POD Shift Left'!C149+'CBPTINTK-17774 Annual Mortgage '!C149+'Securitization November 2025 Re'!C149+'CBPTINTK-2616 Renewal Due Dilig'!C149+'CBPTINTK-23406 Upgrade DDGS Sma'!C149+'CBPTINTK-4105 Client at Risk CR'!C149+'CBPTINTK-4313 Reverse Franchisi'!C149+'PBBT-22623 Eliminate IMDS Depen'!C149+'PBBT-22425 Excalibur LFA_PBBT-2'!C149+'PBBT-23552 Excalibur to RCDW Mo'!C149+'PBPT16393 Credit Maintenance Pl'!C149+'CBPTINTK-3965 - KC Optimization'!C149+'CBPTINTK-2800 IDP CA Foundation'!C149)</f>
        <v>#REF!</v>
      </c>
      <c r="D133" s="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43'!D149+'ATM PH Release 37.5'!D149+'CBPTINT - 3291 CLP MVP 1 Renewa'!D149+#REF!+#REF!+'CBPTINTK-3069 Project Guardian'!D149+'CBPTINTK-3517 Property Insuranc'!D149+'CBPTINTK-4356 CB Enhancements A'!D149+'CBPTINTK-3796 CLD &amp; Repricing L'!D149+'CBPTINTK-23365 LCMS Funding Con'!D149+'PBBT-13832 DM Relationship 4,5,'!D149+'PBBT-23572 RESL POD Shift Left'!D149+'CBPTINTK-17774 Annual Mortgage '!D149+'Securitization November 2025 Re'!D149+'CBPTINTK-2616 Renewal Due Dilig'!D149+'CBPTINTK-23406 Upgrade DDGS Sma'!D149+'CBPTINTK-4105 Client at Risk CR'!D149+'CBPTINTK-4313 Reverse Franchisi'!D149+'PBBT-22623 Eliminate IMDS Depen'!D149+'PBBT-22425 Excalibur LFA_PBBT-2'!D149+'PBBT-23552 Excalibur to RCDW Mo'!D149+'PBPT16393 Credit Maintenance Pl'!D149+'CBPTINTK-3965 - KC Optimization'!D149+'CBPTINTK-2800 IDP CA Foundation'!D149)</f>
        <v>#REF!</v>
      </c>
      <c r="E133" s="4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43'!E149+'ATM PH Release 37.5'!E149+'CBPTINT - 3291 CLP MVP 1 Renewa'!E149+#REF!+#REF!+'CBPTINTK-3069 Project Guardian'!E149+'CBPTINTK-3517 Property Insuranc'!E149+'CBPTINTK-4356 CB Enhancements A'!E149+'CBPTINTK-3796 CLD &amp; Repricing L'!E149+'CBPTINTK-23365 LCMS Funding Con'!E149+'PBBT-13832 DM Relationship 4,5,'!E149+'PBBT-23572 RESL POD Shift Left'!E149+'CBPTINTK-17774 Annual Mortgage '!E149+'Securitization November 2025 Re'!E149+'CBPTINTK-2616 Renewal Due Dilig'!E149+'CBPTINTK-23406 Upgrade DDGS Sma'!E149+'CBPTINTK-4105 Client at Risk CR'!E149+'CBPTINTK-4313 Reverse Franchisi'!E149+'PBBT-22623 Eliminate IMDS Depen'!E149+'PBBT-22425 Excalibur LFA_PBBT-2'!E149+'PBBT-23552 Excalibur to RCDW Mo'!E149+'PBPT16393 Credit Maintenance Pl'!E149+'CBPTINTK-3965 - KC Optimization'!E149+'CBPTINTK-2800 IDP CA Foundation'!E149)</f>
        <v>#REF!</v>
      </c>
      <c r="F133" s="3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43'!F149+'ATM PH Release 37.5'!F149+'CBPTINT - 3291 CLP MVP 1 Renewa'!F149+#REF!+#REF!+'CBPTINTK-3069 Project Guardian'!F149+'CBPTINTK-3517 Property Insuranc'!F149+'CBPTINTK-4356 CB Enhancements A'!F149+'CBPTINTK-3796 CLD &amp; Repricing L'!F149+'CBPTINTK-23365 LCMS Funding Con'!F149+'PBBT-13832 DM Relationship 4,5,'!F149+'PBBT-23572 RESL POD Shift Left'!F149+'CBPTINTK-17774 Annual Mortgage '!F149+'Securitization November 2025 Re'!F149+'CBPTINTK-2616 Renewal Due Dilig'!F149+'CBPTINTK-23406 Upgrade DDGS Sma'!F149+'CBPTINTK-4105 Client at Risk CR'!F149+'CBPTINTK-4313 Reverse Franchisi'!F149+'PBBT-22623 Eliminate IMDS Depen'!F149+'PBBT-22425 Excalibur LFA_PBBT-2'!F149+'PBBT-23552 Excalibur to RCDW Mo'!F149+'PBPT16393 Credit Maintenance Pl'!F149+'CBPTINTK-3965 - KC Optimization'!F149+'CBPTINTK-2800 IDP CA Foundation'!F149)</f>
        <v>#REF!</v>
      </c>
      <c r="G133" s="8" t="e">
        <f>SUM(B133:E133)</f>
        <v>#REF!</v>
      </c>
      <c r="H133" s="52"/>
      <c r="I133" s="52"/>
      <c r="J133" s="52"/>
      <c r="K133" s="52"/>
      <c r="L133" s="52"/>
      <c r="M133" s="52"/>
      <c r="N133" s="52"/>
      <c r="O133" s="53"/>
    </row>
    <row r="134" spans="1:15">
      <c r="A134" s="9" t="s">
        <v>186</v>
      </c>
      <c r="B134" s="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43'!B150+'ATM PH Release 37.5'!B150+'CBPTINT - 3291 CLP MVP 1 Renewa'!B150+#REF!+#REF!+'CBPTINTK-3069 Project Guardian'!B150+'CBPTINTK-3517 Property Insuranc'!B150+'CBPTINTK-4356 CB Enhancements A'!B150+'CBPTINTK-3796 CLD &amp; Repricing L'!B150+'CBPTINTK-23365 LCMS Funding Con'!B150+'PBBT-13832 DM Relationship 4,5,'!B150+'PBBT-23572 RESL POD Shift Left'!B150+'CBPTINTK-17774 Annual Mortgage '!B150+'Securitization November 2025 Re'!B150+'CBPTINTK-2616 Renewal Due Dilig'!B150+'CBPTINTK-23406 Upgrade DDGS Sma'!B150+'CBPTINTK-4105 Client at Risk CR'!B150+'CBPTINTK-4313 Reverse Franchisi'!B150+'PBBT-22623 Eliminate IMDS Depen'!B150+'PBBT-22425 Excalibur LFA_PBBT-2'!B150+'PBBT-23552 Excalibur to RCDW Mo'!B150+'PBPT16393 Credit Maintenance Pl'!B150+'CBPTINTK-3965 - KC Optimization'!B150+'CBPTINTK-2800 IDP CA Foundation'!B150)</f>
        <v>#REF!</v>
      </c>
      <c r="C134" s="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43'!C150+'ATM PH Release 37.5'!C150+'CBPTINT - 3291 CLP MVP 1 Renewa'!C150+#REF!+#REF!+'CBPTINTK-3069 Project Guardian'!C150+'CBPTINTK-3517 Property Insuranc'!C150+'CBPTINTK-4356 CB Enhancements A'!C150+'CBPTINTK-3796 CLD &amp; Repricing L'!C150+'CBPTINTK-23365 LCMS Funding Con'!C150+'PBBT-13832 DM Relationship 4,5,'!C150+'PBBT-23572 RESL POD Shift Left'!C150+'CBPTINTK-17774 Annual Mortgage '!C150+'Securitization November 2025 Re'!C150+'CBPTINTK-2616 Renewal Due Dilig'!C150+'CBPTINTK-23406 Upgrade DDGS Sma'!C150+'CBPTINTK-4105 Client at Risk CR'!C150+'CBPTINTK-4313 Reverse Franchisi'!C150+'PBBT-22623 Eliminate IMDS Depen'!C150+'PBBT-22425 Excalibur LFA_PBBT-2'!C150+'PBBT-23552 Excalibur to RCDW Mo'!C150+'PBPT16393 Credit Maintenance Pl'!C150+'CBPTINTK-3965 - KC Optimization'!C150+'CBPTINTK-2800 IDP CA Foundation'!C150)</f>
        <v>#REF!</v>
      </c>
      <c r="D134" s="8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43'!D150+'ATM PH Release 37.5'!D150+'CBPTINT - 3291 CLP MVP 1 Renewa'!D150+#REF!+#REF!+'CBPTINTK-3069 Project Guardian'!D150+'CBPTINTK-3517 Property Insuranc'!D150+'CBPTINTK-4356 CB Enhancements A'!D150+'CBPTINTK-3796 CLD &amp; Repricing L'!D150+'CBPTINTK-23365 LCMS Funding Con'!D150+'PBBT-13832 DM Relationship 4,5,'!D150+'PBBT-23572 RESL POD Shift Left'!D150+'CBPTINTK-17774 Annual Mortgage '!D150+'Securitization November 2025 Re'!D150+'CBPTINTK-2616 Renewal Due Dilig'!D150+'CBPTINTK-23406 Upgrade DDGS Sma'!D150+'CBPTINTK-4105 Client at Risk CR'!D150+'CBPTINTK-4313 Reverse Franchisi'!D150+'PBBT-22623 Eliminate IMDS Depen'!D150+'PBBT-22425 Excalibur LFA_PBBT-2'!D150+'PBBT-23552 Excalibur to RCDW Mo'!D150+'PBPT16393 Credit Maintenance Pl'!D150+'CBPTINTK-3965 - KC Optimization'!D150+'CBPTINTK-2800 IDP CA Foundation'!D150)</f>
        <v>#REF!</v>
      </c>
      <c r="E134" s="4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43'!E150+'ATM PH Release 37.5'!E150+'CBPTINT - 3291 CLP MVP 1 Renewa'!E150+#REF!+#REF!+'CBPTINTK-3069 Project Guardian'!E150+'CBPTINTK-3517 Property Insuranc'!E150+'CBPTINTK-4356 CB Enhancements A'!E150+'CBPTINTK-3796 CLD &amp; Repricing L'!E150+'CBPTINTK-23365 LCMS Funding Con'!E150+'PBBT-13832 DM Relationship 4,5,'!E150+'PBBT-23572 RESL POD Shift Left'!E150+'CBPTINTK-17774 Annual Mortgage '!E150+'Securitization November 2025 Re'!E150+'CBPTINTK-2616 Renewal Due Dilig'!E150+'CBPTINTK-23406 Upgrade DDGS Sma'!E150+'CBPTINTK-4105 Client at Risk CR'!E150+'CBPTINTK-4313 Reverse Franchisi'!E150+'PBBT-22623 Eliminate IMDS Depen'!E150+'PBBT-22425 Excalibur LFA_PBBT-2'!E150+'PBBT-23552 Excalibur to RCDW Mo'!E150+'PBPT16393 Credit Maintenance Pl'!E150+'CBPTINTK-3965 - KC Optimization'!E150+'CBPTINTK-2800 IDP CA Foundation'!E150)</f>
        <v>#REF!</v>
      </c>
      <c r="F134" s="3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43'!F150+'ATM PH Release 37.5'!F150+'CBPTINT - 3291 CLP MVP 1 Renewa'!F150+#REF!+#REF!+'CBPTINTK-3069 Project Guardian'!F150+'CBPTINTK-3517 Property Insuranc'!F150+'CBPTINTK-4356 CB Enhancements A'!F150+'CBPTINTK-3796 CLD &amp; Repricing L'!F150+'CBPTINTK-23365 LCMS Funding Con'!F150+'PBBT-13832 DM Relationship 4,5,'!F150+'PBBT-23572 RESL POD Shift Left'!F150+'CBPTINTK-17774 Annual Mortgage '!F150+'Securitization November 2025 Re'!F150+'CBPTINTK-2616 Renewal Due Dilig'!F150+'CBPTINTK-23406 Upgrade DDGS Sma'!F150+'CBPTINTK-4105 Client at Risk CR'!F150+'CBPTINTK-4313 Reverse Franchisi'!F150+'PBBT-22623 Eliminate IMDS Depen'!F150+'PBBT-22425 Excalibur LFA_PBBT-2'!F150+'PBBT-23552 Excalibur to RCDW Mo'!F150+'PBPT16393 Credit Maintenance Pl'!F150+'CBPTINTK-3965 - KC Optimization'!F150+'CBPTINTK-2800 IDP CA Foundation'!F150)</f>
        <v>#REF!</v>
      </c>
      <c r="G134" s="8" t="e">
        <f>SUM(B134:E134)</f>
        <v>#REF!</v>
      </c>
      <c r="H134" s="52"/>
      <c r="I134" s="52"/>
      <c r="J134" s="52"/>
      <c r="K134" s="52"/>
      <c r="L134" s="52"/>
      <c r="M134" s="52"/>
      <c r="N134" s="52"/>
      <c r="O134" s="53"/>
    </row>
    <row r="135" spans="1:15">
      <c r="A135" s="7" t="s">
        <v>187</v>
      </c>
      <c r="B135" s="6" t="e">
        <f>+SUM(B131:B134)</f>
        <v>#REF!</v>
      </c>
      <c r="C135" s="6" t="e">
        <f>+SUM(C131:C134)</f>
        <v>#REF!</v>
      </c>
      <c r="D135" s="6" t="e">
        <f>+SUM(D131:D134)</f>
        <v>#REF!</v>
      </c>
      <c r="E135" s="6" t="e">
        <f>+SUM(E131:E134)</f>
        <v>#REF!</v>
      </c>
      <c r="F135" s="34" t="e">
        <f t="shared" ref="F135" si="3">+SUM(F131:F134)</f>
        <v>#REF!</v>
      </c>
      <c r="G135" s="6" t="e">
        <f>+SUM(G131:G134)</f>
        <v>#REF!</v>
      </c>
      <c r="H135" s="52"/>
      <c r="I135" s="52"/>
      <c r="J135" s="52"/>
      <c r="K135" s="52"/>
      <c r="L135" s="52"/>
      <c r="M135" s="52"/>
      <c r="N135" s="52"/>
      <c r="O135" s="53"/>
    </row>
    <row r="136" spans="1:15">
      <c r="A136" s="5"/>
      <c r="B136" s="26"/>
      <c r="C136" s="26"/>
      <c r="D136" s="26"/>
      <c r="E136" s="26"/>
      <c r="F136" s="52"/>
      <c r="G136" s="52"/>
      <c r="H136" s="52"/>
      <c r="I136" s="52"/>
      <c r="J136" s="52"/>
      <c r="K136" s="52"/>
      <c r="L136" s="52"/>
      <c r="M136" s="52"/>
      <c r="N136" s="52"/>
      <c r="O136" s="53"/>
    </row>
    <row r="137" spans="1:15">
      <c r="A137" s="57"/>
      <c r="B137" s="52"/>
      <c r="C137" s="52"/>
      <c r="D137" s="52"/>
      <c r="E137" s="26"/>
      <c r="F137" s="52"/>
      <c r="G137" s="52"/>
      <c r="H137" s="52"/>
      <c r="I137" s="52"/>
      <c r="J137" s="52"/>
      <c r="K137" s="52"/>
      <c r="L137" s="52"/>
      <c r="M137" s="52"/>
      <c r="N137" s="52"/>
      <c r="O137" s="53"/>
    </row>
    <row r="138" spans="1:15">
      <c r="A138" s="161" t="s">
        <v>188</v>
      </c>
      <c r="B138" s="162"/>
      <c r="C138" s="162"/>
      <c r="D138" s="52"/>
      <c r="E138" s="26"/>
      <c r="F138" s="52"/>
      <c r="G138" s="52"/>
      <c r="H138" s="52"/>
      <c r="I138" s="52"/>
      <c r="J138" s="52"/>
      <c r="K138" s="52"/>
      <c r="L138" s="52"/>
      <c r="M138" s="52"/>
      <c r="N138" s="52"/>
      <c r="O138" s="53"/>
    </row>
    <row r="139" spans="1:15">
      <c r="A139" s="159"/>
      <c r="B139" s="160"/>
      <c r="C139" s="42" t="s">
        <v>189</v>
      </c>
      <c r="D139" s="42" t="s">
        <v>190</v>
      </c>
      <c r="E139" s="42" t="s">
        <v>191</v>
      </c>
      <c r="F139" s="52"/>
      <c r="G139" s="52"/>
      <c r="H139" s="52"/>
      <c r="I139" s="52"/>
      <c r="J139" s="52"/>
      <c r="K139" s="52"/>
      <c r="L139" s="52"/>
      <c r="M139" s="52"/>
      <c r="N139" s="52"/>
      <c r="O139" s="53"/>
    </row>
    <row r="140" spans="1:15">
      <c r="A140" s="29" t="s">
        <v>192</v>
      </c>
      <c r="B140" s="29"/>
      <c r="C140" s="7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43'!C156+'ATM PH Release 37.5'!C156+'CBPTINT - 3291 CLP MVP 1 Renewa'!C156+#REF!+#REF!+'CBPTINTK-3069 Project Guardian'!C156+'CBPTINTK-3517 Property Insuranc'!C156+'CBPTINTK-4356 CB Enhancements A'!C156+'CBPTINTK-3796 CLD &amp; Repricing L'!C156+'CBPTINTK-23365 LCMS Funding Con'!C156+'PBBT-13832 DM Relationship 4,5,'!C156+'PBBT-23572 RESL POD Shift Left'!C156+'CBPTINTK-17774 Annual Mortgage '!C156+'Securitization November 2025 Re'!C156+'CBPTINTK-2616 Renewal Due Dilig'!C156+'CBPTINTK-23406 Upgrade DDGS Sma'!C156+'CBPTINTK-4105 Client at Risk CR'!C156+'CBPTINTK-4313 Reverse Franchisi'!C156+'PBBT-22623 Eliminate IMDS Depen'!C156+'PBBT-22425 Excalibur LFA_PBBT-2'!C156+'PBBT-23552 Excalibur to RCDW Mo'!C156+'PBPT16393 Credit Maintenance Pl'!C156+'CBPTINTK-3965 - KC Optimization'!C156+'CBPTINTK-2800 IDP CA Foundation'!C156)</f>
        <v>#REF!</v>
      </c>
      <c r="D140" s="73" t="e">
        <f>SUM(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'POS Release 43'!D156+'ATM PH Release 37.5'!D156+'CBPTINT - 3291 CLP MVP 1 Renewa'!D156+#REF!+#REF!+'CBPTINTK-3069 Project Guardian'!D156+'CBPTINTK-3517 Property Insuranc'!D156+'CBPTINTK-4356 CB Enhancements A'!D156+'CBPTINTK-3796 CLD &amp; Repricing L'!D156+'CBPTINTK-23365 LCMS Funding Con'!D156+'PBBT-13832 DM Relationship 4,5,'!D156+'PBBT-23572 RESL POD Shift Left'!D156+'CBPTINTK-17774 Annual Mortgage '!D156+'Securitization November 2025 Re'!D156+'CBPTINTK-2616 Renewal Due Dilig'!D156+'CBPTINTK-23406 Upgrade DDGS Sma'!D156+'CBPTINTK-4105 Client at Risk CR'!D156+'CBPTINTK-4313 Reverse Franchisi'!D156+'PBBT-22623 Eliminate IMDS Depen'!D156+'PBBT-22425 Excalibur LFA_PBBT-2'!D156+'PBBT-23552 Excalibur to RCDW Mo'!D156+'PBPT16393 Credit Maintenance Pl'!D156+'CBPTINTK-3965 - KC Optimization'!D156+'CBPTINTK-2800 IDP CA Foundation'!D156)</f>
        <v>#REF!</v>
      </c>
      <c r="E140" s="65">
        <f>IFERROR(C140/(C140+#REF!),0)</f>
        <v>0</v>
      </c>
      <c r="F140" s="52"/>
      <c r="G140" s="52"/>
      <c r="H140" s="52"/>
      <c r="I140" s="52"/>
      <c r="J140" s="52"/>
      <c r="K140" s="52"/>
      <c r="L140" s="52"/>
      <c r="M140" s="52"/>
      <c r="N140" s="52"/>
      <c r="O140" s="53"/>
    </row>
    <row r="141" spans="1:15">
      <c r="A141" s="3" t="s">
        <v>193</v>
      </c>
      <c r="B141" s="30"/>
      <c r="C141" s="52"/>
      <c r="D141" s="52"/>
      <c r="E141" s="26"/>
      <c r="F141" s="52"/>
      <c r="G141" s="52"/>
      <c r="H141" s="52"/>
      <c r="I141" s="52"/>
      <c r="J141" s="52"/>
      <c r="K141" s="52"/>
      <c r="L141" s="52"/>
      <c r="M141" s="52"/>
      <c r="N141" s="52"/>
      <c r="O141" s="53"/>
    </row>
    <row r="142" spans="1:15">
      <c r="A142" s="4" t="s">
        <v>194</v>
      </c>
      <c r="B142" s="30"/>
      <c r="C142" s="26"/>
      <c r="D142" s="26"/>
      <c r="E142" s="26"/>
      <c r="F142" s="52"/>
      <c r="G142" s="52"/>
      <c r="H142" s="52"/>
      <c r="I142" s="52"/>
      <c r="J142" s="52"/>
      <c r="K142" s="52"/>
      <c r="L142" s="52"/>
      <c r="M142" s="52"/>
      <c r="N142" s="52"/>
      <c r="O142" s="53"/>
    </row>
    <row r="143" spans="1:15">
      <c r="A143" s="3"/>
      <c r="B143" s="30"/>
      <c r="C143" s="26"/>
      <c r="D143" s="26"/>
      <c r="E143" s="26"/>
      <c r="F143" s="52"/>
      <c r="G143" s="52"/>
      <c r="H143" s="52"/>
      <c r="I143" s="52"/>
      <c r="J143" s="52"/>
      <c r="K143" s="52"/>
      <c r="L143" s="52"/>
      <c r="M143" s="52"/>
      <c r="N143" s="52"/>
      <c r="O143" s="53"/>
    </row>
    <row r="144" spans="1:15">
      <c r="A144" s="79"/>
      <c r="B144" s="80"/>
      <c r="C144" s="2"/>
      <c r="D144" s="2"/>
      <c r="E144" s="2"/>
      <c r="F144" s="2"/>
      <c r="G144" s="80"/>
      <c r="H144" s="80"/>
      <c r="I144" s="80"/>
      <c r="J144" s="80"/>
      <c r="K144" s="80"/>
      <c r="L144" s="80"/>
      <c r="M144" s="80"/>
      <c r="N144" s="80"/>
      <c r="O144" s="81"/>
    </row>
  </sheetData>
  <mergeCells count="152">
    <mergeCell ref="A118:B118"/>
    <mergeCell ref="A119:B119"/>
    <mergeCell ref="A139:B139"/>
    <mergeCell ref="A120:B120"/>
    <mergeCell ref="A121:B121"/>
    <mergeCell ref="A122:B122"/>
    <mergeCell ref="A123:B123"/>
    <mergeCell ref="A124:B124"/>
    <mergeCell ref="A125:B125"/>
    <mergeCell ref="A126:B126"/>
    <mergeCell ref="A129:B129"/>
    <mergeCell ref="A138:C138"/>
    <mergeCell ref="A77:B77"/>
    <mergeCell ref="C77:D77"/>
    <mergeCell ref="A111:D111"/>
    <mergeCell ref="A112:B112"/>
    <mergeCell ref="A113:B113"/>
    <mergeCell ref="A114:B114"/>
    <mergeCell ref="A115:B115"/>
    <mergeCell ref="A116:B116"/>
    <mergeCell ref="A117:B117"/>
    <mergeCell ref="A78:B78"/>
    <mergeCell ref="C78:D78"/>
    <mergeCell ref="E78:F78"/>
    <mergeCell ref="G78:H78"/>
    <mergeCell ref="A81:C81"/>
    <mergeCell ref="A88:D88"/>
    <mergeCell ref="A102:B102"/>
    <mergeCell ref="A82:B82"/>
    <mergeCell ref="A83:B83"/>
    <mergeCell ref="A84:B84"/>
    <mergeCell ref="A85:B85"/>
    <mergeCell ref="G74:H74"/>
    <mergeCell ref="C75:D75"/>
    <mergeCell ref="E75:F75"/>
    <mergeCell ref="G75:H75"/>
    <mergeCell ref="C76:D76"/>
    <mergeCell ref="E76:F76"/>
    <mergeCell ref="G76:H76"/>
    <mergeCell ref="E77:F77"/>
    <mergeCell ref="G77:H77"/>
    <mergeCell ref="G71:H71"/>
    <mergeCell ref="C72:D72"/>
    <mergeCell ref="E72:F72"/>
    <mergeCell ref="G72:H72"/>
    <mergeCell ref="C73:D73"/>
    <mergeCell ref="E73:F73"/>
    <mergeCell ref="G73:H73"/>
    <mergeCell ref="A72:B72"/>
    <mergeCell ref="A73:B73"/>
    <mergeCell ref="A64:B64"/>
    <mergeCell ref="C64:D64"/>
    <mergeCell ref="E64:F64"/>
    <mergeCell ref="G64:H64"/>
    <mergeCell ref="A65:B65"/>
    <mergeCell ref="C65:D65"/>
    <mergeCell ref="E65:F65"/>
    <mergeCell ref="G65:H65"/>
    <mergeCell ref="C66:D66"/>
    <mergeCell ref="E66:F66"/>
    <mergeCell ref="G66:H66"/>
    <mergeCell ref="A8:B8"/>
    <mergeCell ref="C8:E8"/>
    <mergeCell ref="A10:B10"/>
    <mergeCell ref="A11:E15"/>
    <mergeCell ref="A17:C17"/>
    <mergeCell ref="A1:O1"/>
    <mergeCell ref="A3:B3"/>
    <mergeCell ref="C3:E3"/>
    <mergeCell ref="A5:B5"/>
    <mergeCell ref="A6:B6"/>
    <mergeCell ref="A7:B7"/>
    <mergeCell ref="C6:D6"/>
    <mergeCell ref="A24:B24"/>
    <mergeCell ref="A25:B25"/>
    <mergeCell ref="A26:B26"/>
    <mergeCell ref="A30:B30"/>
    <mergeCell ref="A31:B31"/>
    <mergeCell ref="A18:B18"/>
    <mergeCell ref="A19:B19"/>
    <mergeCell ref="A20:B20"/>
    <mergeCell ref="A21:B21"/>
    <mergeCell ref="A22:B22"/>
    <mergeCell ref="A23:B23"/>
    <mergeCell ref="A38:B38"/>
    <mergeCell ref="A32:B32"/>
    <mergeCell ref="A33:B33"/>
    <mergeCell ref="A34:B34"/>
    <mergeCell ref="A35:B35"/>
    <mergeCell ref="A36:B36"/>
    <mergeCell ref="A37:B37"/>
    <mergeCell ref="A39:B39"/>
    <mergeCell ref="A43:B43"/>
    <mergeCell ref="A46:B46"/>
    <mergeCell ref="A47:B47"/>
    <mergeCell ref="A44:B44"/>
    <mergeCell ref="A45:B45"/>
    <mergeCell ref="A50:B50"/>
    <mergeCell ref="A51:B51"/>
    <mergeCell ref="A48:B48"/>
    <mergeCell ref="A49:B49"/>
    <mergeCell ref="A52:B52"/>
    <mergeCell ref="C58:D58"/>
    <mergeCell ref="E58:F58"/>
    <mergeCell ref="G58:H58"/>
    <mergeCell ref="A59:B59"/>
    <mergeCell ref="C59:D59"/>
    <mergeCell ref="E59:F59"/>
    <mergeCell ref="G59:H59"/>
    <mergeCell ref="A56:B56"/>
    <mergeCell ref="A57:B58"/>
    <mergeCell ref="A62:B62"/>
    <mergeCell ref="C62:D62"/>
    <mergeCell ref="E62:F62"/>
    <mergeCell ref="G62:H62"/>
    <mergeCell ref="A63:B63"/>
    <mergeCell ref="C63:D63"/>
    <mergeCell ref="E63:F63"/>
    <mergeCell ref="G63:H63"/>
    <mergeCell ref="A60:B60"/>
    <mergeCell ref="C60:D60"/>
    <mergeCell ref="E60:F60"/>
    <mergeCell ref="G60:H60"/>
    <mergeCell ref="A61:B61"/>
    <mergeCell ref="C61:D61"/>
    <mergeCell ref="E61:F61"/>
    <mergeCell ref="G61:H61"/>
    <mergeCell ref="A74:B74"/>
    <mergeCell ref="A75:B75"/>
    <mergeCell ref="A76:B76"/>
    <mergeCell ref="A66:B66"/>
    <mergeCell ref="A67:B67"/>
    <mergeCell ref="A68:B68"/>
    <mergeCell ref="A69:B69"/>
    <mergeCell ref="C67:D67"/>
    <mergeCell ref="E67:F67"/>
    <mergeCell ref="A71:B71"/>
    <mergeCell ref="C71:D71"/>
    <mergeCell ref="E71:F71"/>
    <mergeCell ref="C74:D74"/>
    <mergeCell ref="E74:F74"/>
    <mergeCell ref="G67:H67"/>
    <mergeCell ref="C68:D68"/>
    <mergeCell ref="E68:F68"/>
    <mergeCell ref="G68:H68"/>
    <mergeCell ref="C69:D69"/>
    <mergeCell ref="E69:F69"/>
    <mergeCell ref="G69:H69"/>
    <mergeCell ref="A70:B70"/>
    <mergeCell ref="C70:D70"/>
    <mergeCell ref="E70:F70"/>
    <mergeCell ref="G70:H70"/>
  </mergeCells>
  <conditionalFormatting sqref="C6">
    <cfRule type="cellIs" dxfId="277" priority="1" stopIfTrue="1" operator="equal">
      <formula>"Green"</formula>
    </cfRule>
    <cfRule type="cellIs" dxfId="276" priority="2" stopIfTrue="1" operator="equal">
      <formula>"Red"</formula>
    </cfRule>
    <cfRule type="cellIs" dxfId="275" priority="3" stopIfTrue="1" operator="equal">
      <formula>"Yellow"</formula>
    </cfRule>
    <cfRule type="cellIs" dxfId="274" priority="4" stopIfTrue="1" operator="equal">
      <formula>"Blue"</formula>
    </cfRule>
    <cfRule type="cellIs" dxfId="273" priority="5" operator="equal">
      <formula>"Green Trending Yellow"</formula>
    </cfRule>
    <cfRule type="cellIs" dxfId="272" priority="6" operator="equal">
      <formula>"Yellow Trending Green"</formula>
    </cfRule>
    <cfRule type="cellIs" dxfId="271" priority="7" operator="equal">
      <formula>"Red Trending Green"</formula>
    </cfRule>
    <cfRule type="cellIs" dxfId="270" priority="8" operator="equal">
      <formula>"Green Trending Red"</formula>
    </cfRule>
    <cfRule type="cellIs" dxfId="269" priority="9" operator="equal">
      <formula>"Yellow Trending Red"</formula>
    </cfRule>
    <cfRule type="cellIs" dxfId="268" priority="10" operator="equal">
      <formula>"Red Trending Yellow"</formula>
    </cfRule>
    <cfRule type="cellIs" dxfId="267" priority="11" stopIfTrue="1" operator="equal">
      <formula>"White"</formula>
    </cfRule>
  </conditionalFormatting>
  <dataValidations count="1">
    <dataValidation type="list" allowBlank="1" showInputMessage="1" showErrorMessage="1" sqref="C6:D6" xr:uid="{00000000-0002-0000-0100-000000000000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63634"/>
  </sheetPr>
  <dimension ref="B2:B16"/>
  <sheetViews>
    <sheetView workbookViewId="0">
      <selection activeCell="B4" sqref="B4"/>
    </sheetView>
  </sheetViews>
  <sheetFormatPr defaultRowHeight="13.5"/>
  <cols>
    <col min="2" max="2" width="60.140625" customWidth="1"/>
  </cols>
  <sheetData>
    <row r="2" spans="2:2" ht="27.75" customHeight="1">
      <c r="B2" s="23" t="s">
        <v>195</v>
      </c>
    </row>
    <row r="4" spans="2:2">
      <c r="B4" s="24"/>
    </row>
    <row r="5" spans="2:2">
      <c r="B5" s="25"/>
    </row>
    <row r="6" spans="2:2">
      <c r="B6" s="25"/>
    </row>
    <row r="7" spans="2:2">
      <c r="B7" s="25"/>
    </row>
    <row r="8" spans="2:2">
      <c r="B8" s="25"/>
    </row>
    <row r="10" spans="2:2">
      <c r="B10" s="24"/>
    </row>
    <row r="11" spans="2:2">
      <c r="B11" s="25"/>
    </row>
    <row r="12" spans="2:2">
      <c r="B12" s="25"/>
    </row>
    <row r="13" spans="2:2">
      <c r="B13" s="25"/>
    </row>
    <row r="14" spans="2:2">
      <c r="B14" s="25"/>
    </row>
    <row r="15" spans="2:2">
      <c r="B15" s="25"/>
    </row>
    <row r="16" spans="2:2">
      <c r="B16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683FA-26CC-4B32-A792-13DF6E56E80E}">
  <sheetPr codeName="Sheet45"/>
  <dimension ref="A1:M230"/>
  <sheetViews>
    <sheetView workbookViewId="0">
      <selection activeCell="J14" sqref="J14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1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198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45949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20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0</v>
      </c>
      <c r="D35" s="68">
        <v>0</v>
      </c>
      <c r="E35" s="60">
        <f>IFERROR((C35+D35)/C33,0)</f>
        <v>0</v>
      </c>
      <c r="F35" s="182"/>
      <c r="G35" s="183"/>
      <c r="H35" s="184"/>
    </row>
    <row r="36" spans="1:8">
      <c r="A36" s="113" t="s">
        <v>99</v>
      </c>
      <c r="B36" s="114"/>
      <c r="C36" s="68">
        <v>0</v>
      </c>
      <c r="D36" s="68">
        <v>0</v>
      </c>
      <c r="E36" s="60">
        <f>IFERROR((C36+D36)/(C35+D35),0)</f>
        <v>0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134</v>
      </c>
      <c r="D46" s="68">
        <v>0</v>
      </c>
      <c r="E46" s="60">
        <f>IFERROR(D46/(D46+C46),0)</f>
        <v>0</v>
      </c>
      <c r="F46" s="64"/>
      <c r="G46" s="52"/>
      <c r="H46" s="53"/>
    </row>
    <row r="47" spans="1:8">
      <c r="A47" s="177" t="s">
        <v>216</v>
      </c>
      <c r="B47" s="178"/>
      <c r="C47" s="91">
        <v>40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0</v>
      </c>
      <c r="D48" s="68">
        <v>0</v>
      </c>
      <c r="E48" s="60">
        <f>IFERROR(D48/(D48+C48),0)</f>
        <v>0</v>
      </c>
      <c r="F48" s="65">
        <f>IFERROR((C48+D48)/(C46+D46),0)</f>
        <v>0</v>
      </c>
      <c r="G48" s="52"/>
      <c r="H48" s="53"/>
    </row>
    <row r="49" spans="1:8">
      <c r="A49" s="113" t="s">
        <v>99</v>
      </c>
      <c r="B49" s="114"/>
      <c r="C49" s="68">
        <v>0</v>
      </c>
      <c r="D49" s="68">
        <v>0</v>
      </c>
      <c r="E49" s="65">
        <f>IFERROR(D49/D48,0)</f>
        <v>0</v>
      </c>
      <c r="F49" s="65">
        <f>IFERROR((C49+D49)/(C48+D48),0)</f>
        <v>0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134</v>
      </c>
      <c r="D53" s="68">
        <v>0</v>
      </c>
      <c r="E53" s="65">
        <f>IFERROR(D53/D46,0)</f>
        <v>0</v>
      </c>
      <c r="F53" s="65">
        <f>IFERROR((C53+D53)/(C46+D46),0)</f>
        <v>1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</v>
      </c>
      <c r="D55" s="66">
        <f>IFERROR(D49/D46,0)</f>
        <v>0</v>
      </c>
      <c r="E55" s="66">
        <f>IFERROR(D49/(C46+D46),0)</f>
        <v>0</v>
      </c>
      <c r="F55" s="66">
        <f>IFERROR((C49+D49)/(C46+D46),0)</f>
        <v>0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134</v>
      </c>
      <c r="D60" s="68">
        <v>0</v>
      </c>
      <c r="E60" s="60">
        <f>IFERROR(D60/(D60+C60),0)</f>
        <v>0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0</v>
      </c>
      <c r="D61" s="68">
        <v>0</v>
      </c>
      <c r="E61" s="60">
        <f>IFERROR(D61/(D61+C61),0)</f>
        <v>0</v>
      </c>
      <c r="F61" s="65">
        <f>IFERROR((C61+D61)/(C60+D60),0)</f>
        <v>0</v>
      </c>
      <c r="G61" s="52"/>
      <c r="H61" s="53"/>
    </row>
    <row r="62" spans="1:8">
      <c r="A62" s="113" t="s">
        <v>99</v>
      </c>
      <c r="B62" s="114"/>
      <c r="C62" s="68">
        <v>0</v>
      </c>
      <c r="D62" s="68">
        <v>0</v>
      </c>
      <c r="E62" s="65">
        <f>IFERROR(D62/D61,0)</f>
        <v>0</v>
      </c>
      <c r="F62" s="65">
        <f>IFERROR((C62+D62)/(C61+D61),0)</f>
        <v>0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134</v>
      </c>
      <c r="D66" s="68">
        <v>0</v>
      </c>
      <c r="E66" s="65">
        <f>IFERROR(D66/D60,0)</f>
        <v>0</v>
      </c>
      <c r="F66" s="65">
        <f>IFERROR((C66+D66)/(C60+D60),0)</f>
        <v>1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</v>
      </c>
      <c r="D68" s="66">
        <f>IFERROR(D62/D60,0)</f>
        <v>0</v>
      </c>
      <c r="E68" s="66">
        <f>IFERROR(D62/(C60+D60),0)</f>
        <v>0</v>
      </c>
      <c r="F68" s="66">
        <f>IFERROR((C62+D62)/(C60+D60),0)</f>
        <v>0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0</v>
      </c>
      <c r="E114" s="70">
        <v>0</v>
      </c>
      <c r="F114" s="72">
        <f t="shared" si="0"/>
        <v>0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0</v>
      </c>
      <c r="D115" s="72">
        <f t="shared" si="1"/>
        <v>0</v>
      </c>
      <c r="E115" s="72">
        <f t="shared" si="1"/>
        <v>0</v>
      </c>
      <c r="F115" s="72">
        <f t="shared" si="0"/>
        <v>0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45949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266" priority="1" stopIfTrue="1" operator="equal">
      <formula>"Green"</formula>
    </cfRule>
    <cfRule type="cellIs" dxfId="265" priority="2" stopIfTrue="1" operator="equal">
      <formula>"Red"</formula>
    </cfRule>
    <cfRule type="cellIs" dxfId="264" priority="3" stopIfTrue="1" operator="equal">
      <formula>"Yellow"</formula>
    </cfRule>
    <cfRule type="cellIs" dxfId="263" priority="4" stopIfTrue="1" operator="equal">
      <formula>"Blue"</formula>
    </cfRule>
    <cfRule type="cellIs" dxfId="262" priority="5" operator="equal">
      <formula>"Green Trending Yellow"</formula>
    </cfRule>
    <cfRule type="cellIs" dxfId="261" priority="6" operator="equal">
      <formula>"Yellow Trending Green"</formula>
    </cfRule>
    <cfRule type="cellIs" dxfId="260" priority="7" operator="equal">
      <formula>"Red Trending Green"</formula>
    </cfRule>
    <cfRule type="cellIs" dxfId="259" priority="8" operator="equal">
      <formula>"Green Trending Red"</formula>
    </cfRule>
    <cfRule type="cellIs" dxfId="258" priority="9" operator="equal">
      <formula>"Yellow Trending Red"</formula>
    </cfRule>
    <cfRule type="cellIs" dxfId="257" priority="10" operator="equal">
      <formula>"Red Trending Yellow"</formula>
    </cfRule>
    <cfRule type="cellIs" dxfId="256" priority="11" stopIfTrue="1" operator="equal">
      <formula>"White"</formula>
    </cfRule>
  </conditionalFormatting>
  <dataValidations count="3">
    <dataValidation type="list" allowBlank="1" showInputMessage="1" showErrorMessage="1" sqref="C5" xr:uid="{3A209A53-665E-4A6C-A583-FF7D5C65EBAC}"/>
    <dataValidation type="list" allowBlank="1" showInputMessage="1" showErrorMessage="1" sqref="C6" xr:uid="{CAB21FAC-330E-4E98-8030-5E0F665A49D6}">
      <formula1>"SIT 1, SIT 2, UAT 1, UAT 2, SIT/UAT, Sprint"</formula1>
    </dataValidation>
    <dataValidation type="list" allowBlank="1" showInputMessage="1" showErrorMessage="1" sqref="C7:D7" xr:uid="{C035DC6E-C4FC-4143-B537-8873CB128AF9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95841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1CB9E-6666-4E68-8361-3F2C07184441}">
  <sheetPr codeName="Sheet44"/>
  <dimension ref="A1:M230"/>
  <sheetViews>
    <sheetView topLeftCell="A34" workbookViewId="0">
      <selection activeCell="C50" sqref="C50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16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 t="s">
        <v>218</v>
      </c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45944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17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17</v>
      </c>
      <c r="D35" s="68">
        <v>0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17</v>
      </c>
      <c r="D36" s="68">
        <v>0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148</v>
      </c>
      <c r="D46" s="68">
        <v>0</v>
      </c>
      <c r="E46" s="60">
        <f>IFERROR(D46/(D46+C46),0)</f>
        <v>0</v>
      </c>
      <c r="F46" s="64"/>
      <c r="G46" s="52"/>
      <c r="H46" s="53"/>
    </row>
    <row r="47" spans="1:8">
      <c r="A47" s="177" t="s">
        <v>216</v>
      </c>
      <c r="B47" s="178"/>
      <c r="C47" s="91">
        <v>148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148</v>
      </c>
      <c r="D48" s="68">
        <v>0</v>
      </c>
      <c r="E48" s="60">
        <f>IFERROR(D48/(D48+C48),0)</f>
        <v>0</v>
      </c>
      <c r="F48" s="65">
        <f>IFERROR((C48+D48)/(C46+D46),0)</f>
        <v>1</v>
      </c>
      <c r="G48" s="52"/>
      <c r="H48" s="53"/>
    </row>
    <row r="49" spans="1:8">
      <c r="A49" s="113" t="s">
        <v>99</v>
      </c>
      <c r="B49" s="114"/>
      <c r="C49" s="68">
        <v>148</v>
      </c>
      <c r="D49" s="68">
        <v>0</v>
      </c>
      <c r="E49" s="65">
        <f>IFERROR(D49/D48,0)</f>
        <v>0</v>
      </c>
      <c r="F49" s="65">
        <f>IFERROR((C49+D49)/(C48+D48),0)</f>
        <v>1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0</v>
      </c>
      <c r="D53" s="68">
        <v>0</v>
      </c>
      <c r="E53" s="65">
        <f>IFERROR(D53/D46,0)</f>
        <v>0</v>
      </c>
      <c r="F53" s="65">
        <f>IFERROR((C53+D53)/(C46+D46),0)</f>
        <v>0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1</v>
      </c>
      <c r="D55" s="66">
        <f>IFERROR(D49/D46,0)</f>
        <v>0</v>
      </c>
      <c r="E55" s="66">
        <f>IFERROR(D49/(C46+D46),0)</f>
        <v>0</v>
      </c>
      <c r="F55" s="66">
        <f>IFERROR((C49+D49)/(C46+D46),0)</f>
        <v>1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0</v>
      </c>
      <c r="D60" s="68">
        <v>0</v>
      </c>
      <c r="E60" s="60">
        <f>IFERROR(D60/(D60+C60),0)</f>
        <v>0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0</v>
      </c>
      <c r="D61" s="68">
        <v>0</v>
      </c>
      <c r="E61" s="60">
        <f>IFERROR(D61/(D61+C61),0)</f>
        <v>0</v>
      </c>
      <c r="F61" s="65">
        <f>IFERROR((C61+D61)/(C60+D60),0)</f>
        <v>0</v>
      </c>
      <c r="G61" s="52"/>
      <c r="H61" s="53"/>
    </row>
    <row r="62" spans="1:8">
      <c r="A62" s="113" t="s">
        <v>99</v>
      </c>
      <c r="B62" s="114"/>
      <c r="C62" s="68">
        <v>0</v>
      </c>
      <c r="D62" s="68">
        <v>0</v>
      </c>
      <c r="E62" s="65">
        <f>IFERROR(D62/D61,0)</f>
        <v>0</v>
      </c>
      <c r="F62" s="65">
        <f>IFERROR((C62+D62)/(C61+D61),0)</f>
        <v>0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0</v>
      </c>
      <c r="D66" s="68">
        <v>0</v>
      </c>
      <c r="E66" s="65">
        <f>IFERROR(D66/D60,0)</f>
        <v>0</v>
      </c>
      <c r="F66" s="65">
        <f>IFERROR((C66+D66)/(C60+D60),0)</f>
        <v>0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</v>
      </c>
      <c r="D68" s="66">
        <f>IFERROR(D62/D60,0)</f>
        <v>0</v>
      </c>
      <c r="E68" s="66">
        <f>IFERROR(D62/(C60+D60),0)</f>
        <v>0</v>
      </c>
      <c r="F68" s="66">
        <f>IFERROR((C62+D62)/(C60+D60),0)</f>
        <v>0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0</v>
      </c>
      <c r="E114" s="70">
        <v>0</v>
      </c>
      <c r="F114" s="72">
        <f t="shared" si="0"/>
        <v>0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0</v>
      </c>
      <c r="D115" s="72">
        <f t="shared" si="1"/>
        <v>0</v>
      </c>
      <c r="E115" s="72">
        <f t="shared" si="1"/>
        <v>0</v>
      </c>
      <c r="F115" s="72">
        <f t="shared" si="0"/>
        <v>0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45944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255" priority="1" stopIfTrue="1" operator="equal">
      <formula>"Green"</formula>
    </cfRule>
    <cfRule type="cellIs" dxfId="254" priority="2" stopIfTrue="1" operator="equal">
      <formula>"Red"</formula>
    </cfRule>
    <cfRule type="cellIs" dxfId="253" priority="3" stopIfTrue="1" operator="equal">
      <formula>"Yellow"</formula>
    </cfRule>
    <cfRule type="cellIs" dxfId="252" priority="4" stopIfTrue="1" operator="equal">
      <formula>"Blue"</formula>
    </cfRule>
    <cfRule type="cellIs" dxfId="251" priority="5" operator="equal">
      <formula>"Green Trending Yellow"</formula>
    </cfRule>
    <cfRule type="cellIs" dxfId="250" priority="6" operator="equal">
      <formula>"Yellow Trending Green"</formula>
    </cfRule>
    <cfRule type="cellIs" dxfId="249" priority="7" operator="equal">
      <formula>"Red Trending Green"</formula>
    </cfRule>
    <cfRule type="cellIs" dxfId="248" priority="8" operator="equal">
      <formula>"Green Trending Red"</formula>
    </cfRule>
    <cfRule type="cellIs" dxfId="247" priority="9" operator="equal">
      <formula>"Yellow Trending Red"</formula>
    </cfRule>
    <cfRule type="cellIs" dxfId="246" priority="10" operator="equal">
      <formula>"Red Trending Yellow"</formula>
    </cfRule>
    <cfRule type="cellIs" dxfId="245" priority="11" stopIfTrue="1" operator="equal">
      <formula>"White"</formula>
    </cfRule>
  </conditionalFormatting>
  <dataValidations count="3">
    <dataValidation type="list" allowBlank="1" showInputMessage="1" showErrorMessage="1" sqref="C5" xr:uid="{82289277-BC13-4C74-A2B7-7CF43A4CA208}"/>
    <dataValidation type="list" allowBlank="1" showInputMessage="1" showErrorMessage="1" sqref="C6" xr:uid="{2F1869CB-E8EB-43A0-BCDA-30B116D6225E}">
      <formula1>"SIT 1, SIT 2, UAT 1, UAT 2, SIT/UAT, Sprint"</formula1>
    </dataValidation>
    <dataValidation type="list" allowBlank="1" showInputMessage="1" showErrorMessage="1" sqref="C7:D7" xr:uid="{3DBC12B4-E8B6-4A37-880F-9CBDA3ED1128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94817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DB7BE-D762-4882-AA93-8F33BE3D6E4F}">
  <sheetPr codeName="Sheet43"/>
  <dimension ref="A1:M230"/>
  <sheetViews>
    <sheetView topLeftCell="A70" workbookViewId="0">
      <selection activeCell="D67" sqref="D67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219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16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16</v>
      </c>
      <c r="D35" s="68">
        <v>0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16</v>
      </c>
      <c r="D36" s="68">
        <v>0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120</v>
      </c>
      <c r="D46" s="68">
        <v>38</v>
      </c>
      <c r="E46" s="60">
        <f>IFERROR(D46/(D46+C46),0)</f>
        <v>0.24050632911392406</v>
      </c>
      <c r="F46" s="64"/>
      <c r="G46" s="52"/>
      <c r="H46" s="53"/>
    </row>
    <row r="47" spans="1:8">
      <c r="A47" s="177" t="s">
        <v>216</v>
      </c>
      <c r="B47" s="178"/>
      <c r="C47" s="91">
        <v>50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50</v>
      </c>
      <c r="D48" s="68">
        <v>0</v>
      </c>
      <c r="E48" s="60">
        <f>IFERROR(D48/(D48+C48),0)</f>
        <v>0</v>
      </c>
      <c r="F48" s="65">
        <f>IFERROR((C48+D48)/(C46+D46),0)</f>
        <v>0.31645569620253167</v>
      </c>
      <c r="G48" s="52"/>
      <c r="H48" s="53"/>
    </row>
    <row r="49" spans="1:8">
      <c r="A49" s="113" t="s">
        <v>99</v>
      </c>
      <c r="B49" s="114"/>
      <c r="C49" s="68">
        <v>50</v>
      </c>
      <c r="D49" s="68">
        <v>0</v>
      </c>
      <c r="E49" s="65">
        <f>IFERROR(D49/D48,0)</f>
        <v>0</v>
      </c>
      <c r="F49" s="65">
        <f>IFERROR((C49+D49)/(C48+D48),0)</f>
        <v>1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70</v>
      </c>
      <c r="D53" s="68">
        <v>38</v>
      </c>
      <c r="E53" s="65">
        <f>IFERROR(D53/D46,0)</f>
        <v>1</v>
      </c>
      <c r="F53" s="65">
        <f>IFERROR((C53+D53)/(C46+D46),0)</f>
        <v>0.68354430379746833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0.41666666666666669</v>
      </c>
      <c r="D55" s="66">
        <f>IFERROR(D49/D46,0)</f>
        <v>0</v>
      </c>
      <c r="E55" s="66">
        <f>IFERROR(D49/(C46+D46),0)</f>
        <v>0</v>
      </c>
      <c r="F55" s="66">
        <f>IFERROR((C49+D49)/(C46+D46),0)</f>
        <v>0.31645569620253167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120</v>
      </c>
      <c r="D60" s="68">
        <v>38</v>
      </c>
      <c r="E60" s="60">
        <f>IFERROR(D60/(D60+C60),0)</f>
        <v>0.24050632911392406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50</v>
      </c>
      <c r="D61" s="68">
        <v>0</v>
      </c>
      <c r="E61" s="60">
        <f>IFERROR(D61/(D61+C61),0)</f>
        <v>0</v>
      </c>
      <c r="F61" s="65">
        <f>IFERROR((C61+D61)/(C60+D60),0)</f>
        <v>0.31645569620253167</v>
      </c>
      <c r="G61" s="52"/>
      <c r="H61" s="53"/>
    </row>
    <row r="62" spans="1:8">
      <c r="A62" s="113" t="s">
        <v>99</v>
      </c>
      <c r="B62" s="114"/>
      <c r="C62" s="68">
        <v>50</v>
      </c>
      <c r="D62" s="68">
        <v>0</v>
      </c>
      <c r="E62" s="65">
        <f>IFERROR(D62/D61,0)</f>
        <v>0</v>
      </c>
      <c r="F62" s="65">
        <f>IFERROR((C62+D62)/(C61+D61),0)</f>
        <v>1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70</v>
      </c>
      <c r="D66" s="68">
        <v>38</v>
      </c>
      <c r="E66" s="65">
        <f>IFERROR(D66/D60,0)</f>
        <v>1</v>
      </c>
      <c r="F66" s="65">
        <f>IFERROR((C66+D66)/(C60+D60),0)</f>
        <v>0.68354430379746833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0.41666666666666669</v>
      </c>
      <c r="D68" s="66">
        <f>IFERROR(D62/D60,0)</f>
        <v>0</v>
      </c>
      <c r="E68" s="66">
        <f>IFERROR(D62/(C60+D60),0)</f>
        <v>0</v>
      </c>
      <c r="F68" s="66">
        <f>IFERROR((C62+D62)/(C60+D60),0)</f>
        <v>0.31645569620253167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0</v>
      </c>
      <c r="E114" s="70">
        <v>0</v>
      </c>
      <c r="F114" s="72">
        <f t="shared" si="0"/>
        <v>0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0</v>
      </c>
      <c r="D115" s="72">
        <f t="shared" si="1"/>
        <v>0</v>
      </c>
      <c r="E115" s="72">
        <f t="shared" si="1"/>
        <v>0</v>
      </c>
      <c r="F115" s="72">
        <f t="shared" si="0"/>
        <v>0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244" priority="1" stopIfTrue="1" operator="equal">
      <formula>"Green"</formula>
    </cfRule>
    <cfRule type="cellIs" dxfId="243" priority="2" stopIfTrue="1" operator="equal">
      <formula>"Red"</formula>
    </cfRule>
    <cfRule type="cellIs" dxfId="242" priority="3" stopIfTrue="1" operator="equal">
      <formula>"Yellow"</formula>
    </cfRule>
    <cfRule type="cellIs" dxfId="241" priority="4" stopIfTrue="1" operator="equal">
      <formula>"Blue"</formula>
    </cfRule>
    <cfRule type="cellIs" dxfId="240" priority="5" operator="equal">
      <formula>"Green Trending Yellow"</formula>
    </cfRule>
    <cfRule type="cellIs" dxfId="239" priority="6" operator="equal">
      <formula>"Yellow Trending Green"</formula>
    </cfRule>
    <cfRule type="cellIs" dxfId="238" priority="7" operator="equal">
      <formula>"Red Trending Green"</formula>
    </cfRule>
    <cfRule type="cellIs" dxfId="237" priority="8" operator="equal">
      <formula>"Green Trending Red"</formula>
    </cfRule>
    <cfRule type="cellIs" dxfId="236" priority="9" operator="equal">
      <formula>"Yellow Trending Red"</formula>
    </cfRule>
    <cfRule type="cellIs" dxfId="235" priority="10" operator="equal">
      <formula>"Red Trending Yellow"</formula>
    </cfRule>
    <cfRule type="cellIs" dxfId="234" priority="11" stopIfTrue="1" operator="equal">
      <formula>"White"</formula>
    </cfRule>
  </conditionalFormatting>
  <dataValidations count="3">
    <dataValidation type="list" allowBlank="1" showInputMessage="1" showErrorMessage="1" sqref="C5" xr:uid="{11FF919E-C550-4D7D-8567-457DF08B80ED}"/>
    <dataValidation type="list" allowBlank="1" showInputMessage="1" showErrorMessage="1" sqref="C6" xr:uid="{E67EF8FD-5283-48D1-9FB3-35A2580F7DE6}">
      <formula1>"SIT 1, SIT 2, UAT 1, UAT 2, SIT/UAT, Sprint"</formula1>
    </dataValidation>
    <dataValidation type="list" allowBlank="1" showInputMessage="1" showErrorMessage="1" sqref="C7:D7" xr:uid="{94E8BC2A-0284-4D0A-967A-5D31793BA79E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93793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BFB80-1008-444C-BE76-05960B4E6C2D}">
  <sheetPr codeName="Sheet41"/>
  <dimension ref="A1:M230"/>
  <sheetViews>
    <sheetView topLeftCell="A59" workbookViewId="0">
      <selection activeCell="C54" sqref="C54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53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3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3</v>
      </c>
      <c r="D35" s="68">
        <v>0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3</v>
      </c>
      <c r="D36" s="68">
        <v>0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40</v>
      </c>
      <c r="D46" s="68">
        <v>0</v>
      </c>
      <c r="E46" s="60">
        <f>IFERROR(D46/(D46+C46),0)</f>
        <v>0</v>
      </c>
      <c r="F46" s="64"/>
      <c r="G46" s="52"/>
      <c r="H46" s="53"/>
    </row>
    <row r="47" spans="1:8">
      <c r="A47" s="177" t="s">
        <v>216</v>
      </c>
      <c r="B47" s="178"/>
      <c r="C47" s="91">
        <v>12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12</v>
      </c>
      <c r="D48" s="68">
        <v>0</v>
      </c>
      <c r="E48" s="60">
        <f>IFERROR(D48/(D48+C48),0)</f>
        <v>0</v>
      </c>
      <c r="F48" s="65">
        <f>IFERROR((C48+D48)/(C46+D46),0)</f>
        <v>0.3</v>
      </c>
      <c r="G48" s="52"/>
      <c r="H48" s="53"/>
    </row>
    <row r="49" spans="1:8">
      <c r="A49" s="113" t="s">
        <v>99</v>
      </c>
      <c r="B49" s="114"/>
      <c r="C49" s="68">
        <v>12</v>
      </c>
      <c r="D49" s="68">
        <v>0</v>
      </c>
      <c r="E49" s="65">
        <f>IFERROR(D49/D48,0)</f>
        <v>0</v>
      </c>
      <c r="F49" s="65">
        <f>IFERROR((C49+D49)/(C48+D48),0)</f>
        <v>1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28</v>
      </c>
      <c r="D53" s="68">
        <v>0</v>
      </c>
      <c r="E53" s="65">
        <f>IFERROR(D53/D46,0)</f>
        <v>0</v>
      </c>
      <c r="F53" s="65">
        <f>IFERROR((C53+D53)/(C46+D46),0)</f>
        <v>0.7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0.3</v>
      </c>
      <c r="D55" s="66">
        <f>IFERROR(D49/D46,0)</f>
        <v>0</v>
      </c>
      <c r="E55" s="66">
        <f>IFERROR(D49/(C46+D46),0)</f>
        <v>0</v>
      </c>
      <c r="F55" s="66">
        <f>IFERROR((C49+D49)/(C46+D46),0)</f>
        <v>0.3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0</v>
      </c>
      <c r="D60" s="68">
        <v>0</v>
      </c>
      <c r="E60" s="60">
        <f>IFERROR(D60/(D60+C60),0)</f>
        <v>0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0</v>
      </c>
      <c r="D61" s="68">
        <v>0</v>
      </c>
      <c r="E61" s="60">
        <f>IFERROR(D61/(D61+C61),0)</f>
        <v>0</v>
      </c>
      <c r="F61" s="65">
        <f>IFERROR((C61+D61)/(C60+D60),0)</f>
        <v>0</v>
      </c>
      <c r="G61" s="52"/>
      <c r="H61" s="53"/>
    </row>
    <row r="62" spans="1:8">
      <c r="A62" s="113" t="s">
        <v>99</v>
      </c>
      <c r="B62" s="114"/>
      <c r="C62" s="68">
        <v>0</v>
      </c>
      <c r="D62" s="68">
        <v>0</v>
      </c>
      <c r="E62" s="65">
        <f>IFERROR(D62/D61,0)</f>
        <v>0</v>
      </c>
      <c r="F62" s="65">
        <f>IFERROR((C62+D62)/(C61+D61),0)</f>
        <v>0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0</v>
      </c>
      <c r="D66" s="68">
        <v>0</v>
      </c>
      <c r="E66" s="65">
        <f>IFERROR(D66/D60,0)</f>
        <v>0</v>
      </c>
      <c r="F66" s="65">
        <f>IFERROR((C66+D66)/(C60+D60),0)</f>
        <v>0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</v>
      </c>
      <c r="D68" s="66">
        <f>IFERROR(D62/D60,0)</f>
        <v>0</v>
      </c>
      <c r="E68" s="66">
        <f>IFERROR(D62/(C60+D60),0)</f>
        <v>0</v>
      </c>
      <c r="F68" s="66">
        <f>IFERROR((C62+D62)/(C60+D60),0)</f>
        <v>0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0</v>
      </c>
      <c r="E114" s="70">
        <v>0</v>
      </c>
      <c r="F114" s="72">
        <f t="shared" si="0"/>
        <v>0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0</v>
      </c>
      <c r="D115" s="72">
        <f t="shared" si="1"/>
        <v>0</v>
      </c>
      <c r="E115" s="72">
        <f t="shared" si="1"/>
        <v>0</v>
      </c>
      <c r="F115" s="72">
        <f t="shared" si="0"/>
        <v>0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233" priority="1" stopIfTrue="1" operator="equal">
      <formula>"Green"</formula>
    </cfRule>
    <cfRule type="cellIs" dxfId="232" priority="2" stopIfTrue="1" operator="equal">
      <formula>"Red"</formula>
    </cfRule>
    <cfRule type="cellIs" dxfId="231" priority="3" stopIfTrue="1" operator="equal">
      <formula>"Yellow"</formula>
    </cfRule>
    <cfRule type="cellIs" dxfId="230" priority="4" stopIfTrue="1" operator="equal">
      <formula>"Blue"</formula>
    </cfRule>
    <cfRule type="cellIs" dxfId="229" priority="5" operator="equal">
      <formula>"Green Trending Yellow"</formula>
    </cfRule>
    <cfRule type="cellIs" dxfId="228" priority="6" operator="equal">
      <formula>"Yellow Trending Green"</formula>
    </cfRule>
    <cfRule type="cellIs" dxfId="227" priority="7" operator="equal">
      <formula>"Red Trending Green"</formula>
    </cfRule>
    <cfRule type="cellIs" dxfId="226" priority="8" operator="equal">
      <formula>"Green Trending Red"</formula>
    </cfRule>
    <cfRule type="cellIs" dxfId="225" priority="9" operator="equal">
      <formula>"Yellow Trending Red"</formula>
    </cfRule>
    <cfRule type="cellIs" dxfId="224" priority="10" operator="equal">
      <formula>"Red Trending Yellow"</formula>
    </cfRule>
    <cfRule type="cellIs" dxfId="223" priority="11" stopIfTrue="1" operator="equal">
      <formula>"White"</formula>
    </cfRule>
  </conditionalFormatting>
  <dataValidations count="3">
    <dataValidation type="list" allowBlank="1" showInputMessage="1" showErrorMessage="1" sqref="C5" xr:uid="{AAB0F557-83B1-4D6B-AE37-77240C0D6982}"/>
    <dataValidation type="list" allowBlank="1" showInputMessage="1" showErrorMessage="1" sqref="C6" xr:uid="{CB394E4B-3A26-474E-9D3D-A70D04E3A151}">
      <formula1>"SIT 1, SIT 2, UAT 1, UAT 2, SIT/UAT, Sprint"</formula1>
    </dataValidation>
    <dataValidation type="list" allowBlank="1" showInputMessage="1" showErrorMessage="1" sqref="C7:D7" xr:uid="{3182ECD1-1ECC-4750-884F-56C5793397F5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92769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F1E1D-6C67-426A-8593-1A1217ADF18E}">
  <sheetPr codeName="Sheet40"/>
  <dimension ref="A1:M230"/>
  <sheetViews>
    <sheetView workbookViewId="0">
      <selection activeCell="J10" sqref="J10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57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 t="s">
        <v>220</v>
      </c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12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12</v>
      </c>
      <c r="D35" s="68">
        <v>0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12</v>
      </c>
      <c r="D36" s="68">
        <v>0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56</v>
      </c>
      <c r="D46" s="68">
        <v>0</v>
      </c>
      <c r="E46" s="60">
        <f>IFERROR(D46/(D46+C46),0)</f>
        <v>0</v>
      </c>
      <c r="F46" s="64"/>
      <c r="G46" s="52"/>
      <c r="H46" s="53"/>
    </row>
    <row r="47" spans="1:8">
      <c r="A47" s="177" t="s">
        <v>216</v>
      </c>
      <c r="B47" s="178"/>
      <c r="C47" s="91">
        <v>33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33</v>
      </c>
      <c r="D48" s="68">
        <v>0</v>
      </c>
      <c r="E48" s="60">
        <f>IFERROR(D48/(D48+C48),0)</f>
        <v>0</v>
      </c>
      <c r="F48" s="65">
        <f>IFERROR((C48+D48)/(C46+D46),0)</f>
        <v>0.5892857142857143</v>
      </c>
      <c r="G48" s="52"/>
      <c r="H48" s="53"/>
    </row>
    <row r="49" spans="1:8">
      <c r="A49" s="113" t="s">
        <v>99</v>
      </c>
      <c r="B49" s="114"/>
      <c r="C49" s="68">
        <v>33</v>
      </c>
      <c r="D49" s="68">
        <v>0</v>
      </c>
      <c r="E49" s="65">
        <f>IFERROR(D49/D48,0)</f>
        <v>0</v>
      </c>
      <c r="F49" s="65">
        <f>IFERROR((C49+D49)/(C48+D48),0)</f>
        <v>1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23</v>
      </c>
      <c r="D53" s="68">
        <v>0</v>
      </c>
      <c r="E53" s="65">
        <f>IFERROR(D53/D46,0)</f>
        <v>0</v>
      </c>
      <c r="F53" s="65">
        <f>IFERROR((C53+D53)/(C46+D46),0)</f>
        <v>0.4107142857142857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0.5892857142857143</v>
      </c>
      <c r="D55" s="66">
        <f>IFERROR(D49/D46,0)</f>
        <v>0</v>
      </c>
      <c r="E55" s="66">
        <f>IFERROR(D49/(C46+D46),0)</f>
        <v>0</v>
      </c>
      <c r="F55" s="66">
        <f>IFERROR((C49+D49)/(C46+D46),0)</f>
        <v>0.5892857142857143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56</v>
      </c>
      <c r="D60" s="68">
        <v>0</v>
      </c>
      <c r="E60" s="60">
        <f>IFERROR(D60/(D60+C60),0)</f>
        <v>0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33</v>
      </c>
      <c r="D61" s="68">
        <v>0</v>
      </c>
      <c r="E61" s="60">
        <f>IFERROR(D61/(D61+C61),0)</f>
        <v>0</v>
      </c>
      <c r="F61" s="65">
        <f>IFERROR((C61+D61)/(C60+D60),0)</f>
        <v>0.5892857142857143</v>
      </c>
      <c r="G61" s="52"/>
      <c r="H61" s="53"/>
    </row>
    <row r="62" spans="1:8">
      <c r="A62" s="113" t="s">
        <v>99</v>
      </c>
      <c r="B62" s="114"/>
      <c r="C62" s="68">
        <v>33</v>
      </c>
      <c r="D62" s="68">
        <v>0</v>
      </c>
      <c r="E62" s="65">
        <f>IFERROR(D62/D61,0)</f>
        <v>0</v>
      </c>
      <c r="F62" s="65">
        <f>IFERROR((C62+D62)/(C61+D61),0)</f>
        <v>1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23</v>
      </c>
      <c r="D66" s="68">
        <v>0</v>
      </c>
      <c r="E66" s="65">
        <f>IFERROR(D66/D60,0)</f>
        <v>0</v>
      </c>
      <c r="F66" s="65">
        <f>IFERROR((C66+D66)/(C60+D60),0)</f>
        <v>0.4107142857142857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0.5892857142857143</v>
      </c>
      <c r="D68" s="66">
        <f>IFERROR(D62/D60,0)</f>
        <v>0</v>
      </c>
      <c r="E68" s="66">
        <f>IFERROR(D62/(C60+D60),0)</f>
        <v>0</v>
      </c>
      <c r="F68" s="66">
        <f>IFERROR((C62+D62)/(C60+D60),0)</f>
        <v>0.5892857142857143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0</v>
      </c>
      <c r="E114" s="70">
        <v>0</v>
      </c>
      <c r="F114" s="72">
        <f t="shared" si="0"/>
        <v>0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0</v>
      </c>
      <c r="D115" s="72">
        <f t="shared" si="1"/>
        <v>0</v>
      </c>
      <c r="E115" s="72">
        <f t="shared" si="1"/>
        <v>0</v>
      </c>
      <c r="F115" s="72">
        <f t="shared" si="0"/>
        <v>0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222" priority="1" stopIfTrue="1" operator="equal">
      <formula>"Green"</formula>
    </cfRule>
    <cfRule type="cellIs" dxfId="221" priority="2" stopIfTrue="1" operator="equal">
      <formula>"Red"</formula>
    </cfRule>
    <cfRule type="cellIs" dxfId="220" priority="3" stopIfTrue="1" operator="equal">
      <formula>"Yellow"</formula>
    </cfRule>
    <cfRule type="cellIs" dxfId="219" priority="4" stopIfTrue="1" operator="equal">
      <formula>"Blue"</formula>
    </cfRule>
    <cfRule type="cellIs" dxfId="218" priority="5" operator="equal">
      <formula>"Green Trending Yellow"</formula>
    </cfRule>
    <cfRule type="cellIs" dxfId="217" priority="6" operator="equal">
      <formula>"Yellow Trending Green"</formula>
    </cfRule>
    <cfRule type="cellIs" dxfId="216" priority="7" operator="equal">
      <formula>"Red Trending Green"</formula>
    </cfRule>
    <cfRule type="cellIs" dxfId="215" priority="8" operator="equal">
      <formula>"Green Trending Red"</formula>
    </cfRule>
    <cfRule type="cellIs" dxfId="214" priority="9" operator="equal">
      <formula>"Yellow Trending Red"</formula>
    </cfRule>
    <cfRule type="cellIs" dxfId="213" priority="10" operator="equal">
      <formula>"Red Trending Yellow"</formula>
    </cfRule>
    <cfRule type="cellIs" dxfId="212" priority="11" stopIfTrue="1" operator="equal">
      <formula>"White"</formula>
    </cfRule>
  </conditionalFormatting>
  <dataValidations count="3">
    <dataValidation type="list" allowBlank="1" showInputMessage="1" showErrorMessage="1" sqref="C5" xr:uid="{949816F9-945D-41D6-8A23-26D38E40D3FF}"/>
    <dataValidation type="list" allowBlank="1" showInputMessage="1" showErrorMessage="1" sqref="C6" xr:uid="{892DEE62-6ED7-400E-88B4-3F5482EAF19F}">
      <formula1>"SIT 1, SIT 2, UAT 1, UAT 2, SIT/UAT, Sprint"</formula1>
    </dataValidation>
    <dataValidation type="list" allowBlank="1" showInputMessage="1" showErrorMessage="1" sqref="C7:D7" xr:uid="{A36A4EDE-55FD-4AA7-976E-D69C6D5321C8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91745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109A-3601-4441-94E9-D324BD1F3597}">
  <sheetPr codeName="Sheet39"/>
  <dimension ref="A1:M230"/>
  <sheetViews>
    <sheetView workbookViewId="0">
      <selection activeCell="K18" sqref="K18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44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 t="s">
        <v>221</v>
      </c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45949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3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3</v>
      </c>
      <c r="D35" s="68">
        <v>0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3</v>
      </c>
      <c r="D36" s="68">
        <v>0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100</v>
      </c>
      <c r="D46" s="68">
        <v>0</v>
      </c>
      <c r="E46" s="60">
        <f>IFERROR(D46/(D46+C46),0)</f>
        <v>0</v>
      </c>
      <c r="F46" s="64"/>
      <c r="G46" s="52"/>
      <c r="H46" s="53"/>
    </row>
    <row r="47" spans="1:8">
      <c r="A47" s="177" t="s">
        <v>216</v>
      </c>
      <c r="B47" s="178"/>
      <c r="C47" s="91">
        <v>11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11</v>
      </c>
      <c r="D48" s="68">
        <v>0</v>
      </c>
      <c r="E48" s="60">
        <f>IFERROR(D48/(D48+C48),0)</f>
        <v>0</v>
      </c>
      <c r="F48" s="65">
        <f>IFERROR((C48+D48)/(C46+D46),0)</f>
        <v>0.11</v>
      </c>
      <c r="G48" s="52"/>
      <c r="H48" s="53"/>
    </row>
    <row r="49" spans="1:8">
      <c r="A49" s="113" t="s">
        <v>99</v>
      </c>
      <c r="B49" s="114"/>
      <c r="C49" s="68">
        <v>11</v>
      </c>
      <c r="D49" s="68">
        <v>0</v>
      </c>
      <c r="E49" s="65">
        <f>IFERROR(D49/D48,0)</f>
        <v>0</v>
      </c>
      <c r="F49" s="65">
        <f>IFERROR((C49+D49)/(C48+D48),0)</f>
        <v>1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89</v>
      </c>
      <c r="D53" s="68">
        <v>0</v>
      </c>
      <c r="E53" s="65">
        <f>IFERROR(D53/D46,0)</f>
        <v>0</v>
      </c>
      <c r="F53" s="65">
        <f>IFERROR((C53+D53)/(C46+D46),0)</f>
        <v>0.89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0.11</v>
      </c>
      <c r="D55" s="66">
        <f>IFERROR(D49/D46,0)</f>
        <v>0</v>
      </c>
      <c r="E55" s="66">
        <f>IFERROR(D49/(C46+D46),0)</f>
        <v>0</v>
      </c>
      <c r="F55" s="66">
        <f>IFERROR((C49+D49)/(C46+D46),0)</f>
        <v>0.11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213</v>
      </c>
      <c r="D60" s="68">
        <v>0</v>
      </c>
      <c r="E60" s="60">
        <f>IFERROR(D60/(D60+C60),0)</f>
        <v>0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124</v>
      </c>
      <c r="D61" s="68">
        <v>0</v>
      </c>
      <c r="E61" s="60">
        <f>IFERROR(D61/(D61+C61),0)</f>
        <v>0</v>
      </c>
      <c r="F61" s="65">
        <f>IFERROR((C61+D61)/(C60+D60),0)</f>
        <v>0.5821596244131455</v>
      </c>
      <c r="G61" s="52"/>
      <c r="H61" s="53"/>
    </row>
    <row r="62" spans="1:8">
      <c r="A62" s="113" t="s">
        <v>99</v>
      </c>
      <c r="B62" s="114"/>
      <c r="C62" s="68">
        <v>124</v>
      </c>
      <c r="D62" s="68">
        <v>0</v>
      </c>
      <c r="E62" s="65">
        <f>IFERROR(D62/D61,0)</f>
        <v>0</v>
      </c>
      <c r="F62" s="65">
        <f>IFERROR((C62+D62)/(C61+D61),0)</f>
        <v>1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89</v>
      </c>
      <c r="D66" s="68">
        <v>0</v>
      </c>
      <c r="E66" s="65">
        <f>IFERROR(D66/D60,0)</f>
        <v>0</v>
      </c>
      <c r="F66" s="65">
        <f>IFERROR((C66+D66)/(C60+D60),0)</f>
        <v>0.41784037558685444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0.5821596244131455</v>
      </c>
      <c r="D68" s="66">
        <f>IFERROR(D62/D60,0)</f>
        <v>0</v>
      </c>
      <c r="E68" s="66">
        <f>IFERROR(D62/(C60+D60),0)</f>
        <v>0</v>
      </c>
      <c r="F68" s="66">
        <f>IFERROR((C62+D62)/(C60+D60),0)</f>
        <v>0.5821596244131455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0</v>
      </c>
      <c r="E114" s="70">
        <v>0</v>
      </c>
      <c r="F114" s="72">
        <f t="shared" si="0"/>
        <v>0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0</v>
      </c>
      <c r="D115" s="72">
        <f t="shared" si="1"/>
        <v>0</v>
      </c>
      <c r="E115" s="72">
        <f t="shared" si="1"/>
        <v>0</v>
      </c>
      <c r="F115" s="72">
        <f t="shared" si="0"/>
        <v>0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45949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211" priority="1" stopIfTrue="1" operator="equal">
      <formula>"Green"</formula>
    </cfRule>
    <cfRule type="cellIs" dxfId="210" priority="2" stopIfTrue="1" operator="equal">
      <formula>"Red"</formula>
    </cfRule>
    <cfRule type="cellIs" dxfId="209" priority="3" stopIfTrue="1" operator="equal">
      <formula>"Yellow"</formula>
    </cfRule>
    <cfRule type="cellIs" dxfId="208" priority="4" stopIfTrue="1" operator="equal">
      <formula>"Blue"</formula>
    </cfRule>
    <cfRule type="cellIs" dxfId="207" priority="5" operator="equal">
      <formula>"Green Trending Yellow"</formula>
    </cfRule>
    <cfRule type="cellIs" dxfId="206" priority="6" operator="equal">
      <formula>"Yellow Trending Green"</formula>
    </cfRule>
    <cfRule type="cellIs" dxfId="205" priority="7" operator="equal">
      <formula>"Red Trending Green"</formula>
    </cfRule>
    <cfRule type="cellIs" dxfId="204" priority="8" operator="equal">
      <formula>"Green Trending Red"</formula>
    </cfRule>
    <cfRule type="cellIs" dxfId="203" priority="9" operator="equal">
      <formula>"Yellow Trending Red"</formula>
    </cfRule>
    <cfRule type="cellIs" dxfId="202" priority="10" operator="equal">
      <formula>"Red Trending Yellow"</formula>
    </cfRule>
    <cfRule type="cellIs" dxfId="201" priority="11" stopIfTrue="1" operator="equal">
      <formula>"White"</formula>
    </cfRule>
  </conditionalFormatting>
  <dataValidations count="3">
    <dataValidation type="list" allowBlank="1" showInputMessage="1" showErrorMessage="1" sqref="C5" xr:uid="{58AC686B-6015-4E78-ADF8-47E027BC1FD1}"/>
    <dataValidation type="list" allowBlank="1" showInputMessage="1" showErrorMessage="1" sqref="C6" xr:uid="{EFD31BCC-A1DD-475D-AA33-633558DB312B}">
      <formula1>"SIT 1, SIT 2, UAT 1, UAT 2, SIT/UAT, Sprint"</formula1>
    </dataValidation>
    <dataValidation type="list" allowBlank="1" showInputMessage="1" showErrorMessage="1" sqref="C7:D7" xr:uid="{19859768-BCBB-4C5A-ACB3-9693FEE0F9AD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68193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D059A-B261-4038-AF68-6B78C2996639}">
  <sheetPr codeName="Sheet38"/>
  <dimension ref="A1:M230"/>
  <sheetViews>
    <sheetView topLeftCell="A96" workbookViewId="0">
      <selection activeCell="D107" sqref="D107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48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 t="s">
        <v>222</v>
      </c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10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0</v>
      </c>
      <c r="D35" s="68">
        <v>10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0</v>
      </c>
      <c r="D36" s="68">
        <v>0</v>
      </c>
      <c r="E36" s="60">
        <f>IFERROR((C36+D36)/(C35+D35),0)</f>
        <v>0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10</v>
      </c>
      <c r="E37" s="60">
        <f>IFERROR((C37+D37)/(C35+D35),0)</f>
        <v>1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0</v>
      </c>
      <c r="D46" s="68">
        <v>48</v>
      </c>
      <c r="E46" s="60">
        <f>IFERROR(D46/(D46+C46),0)</f>
        <v>1</v>
      </c>
      <c r="F46" s="64"/>
      <c r="G46" s="52"/>
      <c r="H46" s="53"/>
    </row>
    <row r="47" spans="1:8">
      <c r="A47" s="177" t="s">
        <v>216</v>
      </c>
      <c r="B47" s="178"/>
      <c r="C47" s="91">
        <v>0</v>
      </c>
      <c r="D47" s="91">
        <v>48</v>
      </c>
      <c r="E47" s="92">
        <f>IFERROR(D47/(D47+C47),0)</f>
        <v>1</v>
      </c>
      <c r="F47" s="64"/>
      <c r="G47" s="52"/>
      <c r="H47" s="53"/>
    </row>
    <row r="48" spans="1:8">
      <c r="A48" s="115" t="s">
        <v>98</v>
      </c>
      <c r="B48" s="116"/>
      <c r="C48" s="68">
        <v>0</v>
      </c>
      <c r="D48" s="68">
        <v>45</v>
      </c>
      <c r="E48" s="60">
        <f>IFERROR(D48/(D48+C48),0)</f>
        <v>1</v>
      </c>
      <c r="F48" s="65">
        <f>IFERROR((C48+D48)/(C46+D46),0)</f>
        <v>0.9375</v>
      </c>
      <c r="G48" s="52"/>
      <c r="H48" s="53"/>
    </row>
    <row r="49" spans="1:8">
      <c r="A49" s="113" t="s">
        <v>99</v>
      </c>
      <c r="B49" s="114"/>
      <c r="C49" s="68">
        <v>0</v>
      </c>
      <c r="D49" s="68">
        <v>43</v>
      </c>
      <c r="E49" s="65">
        <f>IFERROR(D49/D48,0)</f>
        <v>0.9555555555555556</v>
      </c>
      <c r="F49" s="65">
        <f>IFERROR((C49+D49)/(C48+D48),0)</f>
        <v>0.9555555555555556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2</v>
      </c>
      <c r="E50" s="65">
        <f>IFERROR(D50/D48,0)</f>
        <v>4.4444444444444446E-2</v>
      </c>
      <c r="F50" s="65">
        <f>IFERROR((C50+D50)/(C48+D48),0)</f>
        <v>4.4444444444444446E-2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0</v>
      </c>
      <c r="D53" s="68">
        <v>2</v>
      </c>
      <c r="E53" s="65">
        <f>IFERROR(D53/D46,0)</f>
        <v>4.1666666666666664E-2</v>
      </c>
      <c r="F53" s="65">
        <f>IFERROR((C53+D53)/(C46+D46),0)</f>
        <v>4.1666666666666664E-2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1</v>
      </c>
      <c r="E54" s="65">
        <f>IFERROR(D54/D46,0)</f>
        <v>2.0833333333333332E-2</v>
      </c>
      <c r="F54" s="65">
        <f>IFERROR((C54+D54)/(C46+D46),0)</f>
        <v>2.0833333333333332E-2</v>
      </c>
      <c r="G54" s="52"/>
      <c r="H54" s="53"/>
    </row>
    <row r="55" spans="1:8">
      <c r="A55" s="117" t="s">
        <v>110</v>
      </c>
      <c r="B55" s="118"/>
      <c r="C55" s="66">
        <f>IFERROR(C49/C46,0)</f>
        <v>0</v>
      </c>
      <c r="D55" s="66">
        <f>IFERROR(D49/D46,0)</f>
        <v>0.89583333333333337</v>
      </c>
      <c r="E55" s="66">
        <f>IFERROR(D49/(C46+D46),0)</f>
        <v>0.89583333333333337</v>
      </c>
      <c r="F55" s="66">
        <f>IFERROR((C49+D49)/(C46+D46),0)</f>
        <v>0.89583333333333337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0</v>
      </c>
      <c r="D60" s="68">
        <v>79</v>
      </c>
      <c r="E60" s="60">
        <f>IFERROR(D60/(D60+C60),0)</f>
        <v>1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0</v>
      </c>
      <c r="D61" s="68">
        <v>76</v>
      </c>
      <c r="E61" s="60">
        <f>IFERROR(D61/(D61+C61),0)</f>
        <v>1</v>
      </c>
      <c r="F61" s="65">
        <f>IFERROR((C61+D61)/(C60+D60),0)</f>
        <v>0.96202531645569622</v>
      </c>
      <c r="G61" s="52"/>
      <c r="H61" s="53"/>
    </row>
    <row r="62" spans="1:8">
      <c r="A62" s="113" t="s">
        <v>99</v>
      </c>
      <c r="B62" s="114"/>
      <c r="C62" s="68">
        <v>0</v>
      </c>
      <c r="D62" s="68">
        <v>43</v>
      </c>
      <c r="E62" s="65">
        <f>IFERROR(D62/D61,0)</f>
        <v>0.56578947368421051</v>
      </c>
      <c r="F62" s="65">
        <f>IFERROR((C62+D62)/(C61+D61),0)</f>
        <v>0.56578947368421051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33</v>
      </c>
      <c r="E63" s="65">
        <f>IFERROR(D63/D61,0)</f>
        <v>0.43421052631578949</v>
      </c>
      <c r="F63" s="65">
        <f>IFERROR((C63+D63)/(C61+D61),0)</f>
        <v>0.43421052631578949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0</v>
      </c>
      <c r="D66" s="68">
        <v>2</v>
      </c>
      <c r="E66" s="65">
        <f>IFERROR(D66/D60,0)</f>
        <v>2.5316455696202531E-2</v>
      </c>
      <c r="F66" s="65">
        <f>IFERROR((C66+D66)/(C60+D60),0)</f>
        <v>2.5316455696202531E-2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1</v>
      </c>
      <c r="E67" s="65">
        <f>IFERROR(D67/D60,0)</f>
        <v>1.2658227848101266E-2</v>
      </c>
      <c r="F67" s="65">
        <f>IFERROR((C67+D67)/(C60+D60),0)</f>
        <v>1.2658227848101266E-2</v>
      </c>
      <c r="G67" s="52"/>
      <c r="H67" s="53"/>
    </row>
    <row r="68" spans="1:8">
      <c r="A68" s="117" t="s">
        <v>110</v>
      </c>
      <c r="B68" s="118"/>
      <c r="C68" s="66">
        <f>IFERROR(C62/C60,0)</f>
        <v>0</v>
      </c>
      <c r="D68" s="66">
        <f>IFERROR(D62/D60,0)</f>
        <v>0.54430379746835444</v>
      </c>
      <c r="E68" s="66">
        <f>IFERROR(D62/(C60+D60),0)</f>
        <v>0.54430379746835444</v>
      </c>
      <c r="F68" s="66">
        <f>IFERROR((C62+D62)/(C60+D60),0)</f>
        <v>0.54430379746835444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1</v>
      </c>
      <c r="C107" s="70">
        <v>2</v>
      </c>
      <c r="D107" s="70">
        <v>0</v>
      </c>
      <c r="E107" s="70">
        <v>0</v>
      </c>
      <c r="F107" s="72">
        <f t="shared" ref="F107:F115" si="0">SUM(B107:E107)</f>
        <v>3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6</v>
      </c>
      <c r="D114" s="70">
        <v>2</v>
      </c>
      <c r="E114" s="70">
        <v>0</v>
      </c>
      <c r="F114" s="72">
        <f t="shared" si="0"/>
        <v>8</v>
      </c>
      <c r="G114" s="26"/>
      <c r="H114" s="31"/>
    </row>
    <row r="115" spans="1:8">
      <c r="A115" s="69" t="s">
        <v>149</v>
      </c>
      <c r="B115" s="72">
        <f>SUM(B106:B114)</f>
        <v>1</v>
      </c>
      <c r="C115" s="72">
        <f t="shared" ref="C115:E115" si="1">SUM(C106:C114)</f>
        <v>8</v>
      </c>
      <c r="D115" s="72">
        <f t="shared" si="1"/>
        <v>2</v>
      </c>
      <c r="E115" s="72">
        <f t="shared" si="1"/>
        <v>0</v>
      </c>
      <c r="F115" s="72">
        <f t="shared" si="0"/>
        <v>11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</mergeCells>
  <conditionalFormatting sqref="C7">
    <cfRule type="cellIs" dxfId="200" priority="1" stopIfTrue="1" operator="equal">
      <formula>"Green"</formula>
    </cfRule>
    <cfRule type="cellIs" dxfId="199" priority="2" stopIfTrue="1" operator="equal">
      <formula>"Red"</formula>
    </cfRule>
    <cfRule type="cellIs" dxfId="198" priority="3" stopIfTrue="1" operator="equal">
      <formula>"Yellow"</formula>
    </cfRule>
    <cfRule type="cellIs" dxfId="197" priority="4" stopIfTrue="1" operator="equal">
      <formula>"Blue"</formula>
    </cfRule>
    <cfRule type="cellIs" dxfId="196" priority="5" operator="equal">
      <formula>"Green Trending Yellow"</formula>
    </cfRule>
    <cfRule type="cellIs" dxfId="195" priority="6" operator="equal">
      <formula>"Yellow Trending Green"</formula>
    </cfRule>
    <cfRule type="cellIs" dxfId="194" priority="7" operator="equal">
      <formula>"Red Trending Green"</formula>
    </cfRule>
    <cfRule type="cellIs" dxfId="193" priority="8" operator="equal">
      <formula>"Green Trending Red"</formula>
    </cfRule>
    <cfRule type="cellIs" dxfId="192" priority="9" operator="equal">
      <formula>"Yellow Trending Red"</formula>
    </cfRule>
    <cfRule type="cellIs" dxfId="191" priority="10" operator="equal">
      <formula>"Red Trending Yellow"</formula>
    </cfRule>
    <cfRule type="cellIs" dxfId="190" priority="11" stopIfTrue="1" operator="equal">
      <formula>"White"</formula>
    </cfRule>
  </conditionalFormatting>
  <dataValidations count="3">
    <dataValidation type="list" allowBlank="1" showInputMessage="1" showErrorMessage="1" sqref="C5" xr:uid="{49D9DE22-867E-4E26-9980-7A0CCB6B4BC0}"/>
    <dataValidation type="list" allowBlank="1" showInputMessage="1" showErrorMessage="1" sqref="C6" xr:uid="{36089714-1616-4C44-BD49-31DE00C5FB1F}">
      <formula1>"SIT 1, SIT 2, UAT 1, UAT 2, SIT/UAT, Sprint"</formula1>
    </dataValidation>
    <dataValidation type="list" allowBlank="1" showInputMessage="1" showErrorMessage="1" sqref="C7:D7" xr:uid="{901BEC95-A2C9-438D-BCB8-5287FB7272ED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45665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4F280-443A-41B2-8109-328DB54D9C3B}">
  <sheetPr codeName="Sheet37"/>
  <dimension ref="A1:M230"/>
  <sheetViews>
    <sheetView workbookViewId="0">
      <selection activeCell="L12" sqref="L12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46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45949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6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7</v>
      </c>
      <c r="D35" s="68">
        <v>3</v>
      </c>
      <c r="E35" s="60">
        <f>IFERROR((C35+D35)/C33,0)</f>
        <v>1.6666666666666667</v>
      </c>
      <c r="F35" s="182"/>
      <c r="G35" s="183"/>
      <c r="H35" s="184"/>
    </row>
    <row r="36" spans="1:8">
      <c r="A36" s="113" t="s">
        <v>99</v>
      </c>
      <c r="B36" s="114"/>
      <c r="C36" s="68">
        <v>7</v>
      </c>
      <c r="D36" s="68">
        <v>3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24</v>
      </c>
      <c r="D46" s="68">
        <v>26</v>
      </c>
      <c r="E46" s="60">
        <f>IFERROR(D46/(D46+C46),0)</f>
        <v>0.52</v>
      </c>
      <c r="F46" s="64"/>
      <c r="G46" s="52"/>
      <c r="H46" s="53"/>
    </row>
    <row r="47" spans="1:8">
      <c r="A47" s="177" t="s">
        <v>216</v>
      </c>
      <c r="B47" s="178"/>
      <c r="C47" s="91">
        <v>12</v>
      </c>
      <c r="D47" s="91">
        <v>8</v>
      </c>
      <c r="E47" s="92">
        <f>IFERROR(D47/(D47+C47),0)</f>
        <v>0.4</v>
      </c>
      <c r="F47" s="64"/>
      <c r="G47" s="52"/>
      <c r="H47" s="53"/>
    </row>
    <row r="48" spans="1:8">
      <c r="A48" s="115" t="s">
        <v>98</v>
      </c>
      <c r="B48" s="116"/>
      <c r="C48" s="68">
        <v>18</v>
      </c>
      <c r="D48" s="68">
        <v>8</v>
      </c>
      <c r="E48" s="60">
        <f>IFERROR(D48/(D48+C48),0)</f>
        <v>0.30769230769230771</v>
      </c>
      <c r="F48" s="65">
        <f>IFERROR((C48+D48)/(C46+D46),0)</f>
        <v>0.52</v>
      </c>
      <c r="G48" s="52"/>
      <c r="H48" s="53"/>
    </row>
    <row r="49" spans="1:8">
      <c r="A49" s="113" t="s">
        <v>99</v>
      </c>
      <c r="B49" s="114"/>
      <c r="C49" s="68">
        <v>7</v>
      </c>
      <c r="D49" s="68">
        <v>3</v>
      </c>
      <c r="E49" s="65">
        <f>IFERROR(D49/D48,0)</f>
        <v>0.375</v>
      </c>
      <c r="F49" s="65">
        <f>IFERROR((C49+D49)/(C48+D48),0)</f>
        <v>0.38461538461538464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6</v>
      </c>
      <c r="D53" s="68">
        <v>18</v>
      </c>
      <c r="E53" s="65">
        <f>IFERROR(D53/D46,0)</f>
        <v>0.69230769230769229</v>
      </c>
      <c r="F53" s="65">
        <f>IFERROR((C53+D53)/(C46+D46),0)</f>
        <v>0.48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0.29166666666666669</v>
      </c>
      <c r="D55" s="66">
        <f>IFERROR(D49/D46,0)</f>
        <v>0.11538461538461539</v>
      </c>
      <c r="E55" s="66">
        <f>IFERROR(D49/(C46+D46),0)</f>
        <v>0.06</v>
      </c>
      <c r="F55" s="66">
        <f>IFERROR((C49+D49)/(C46+D46),0)</f>
        <v>0.2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24</v>
      </c>
      <c r="D60" s="68">
        <v>26</v>
      </c>
      <c r="E60" s="60">
        <f>IFERROR(D60/(D60+C60),0)</f>
        <v>0.52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18</v>
      </c>
      <c r="D61" s="68">
        <v>8</v>
      </c>
      <c r="E61" s="60">
        <f>IFERROR(D61/(D61+C61),0)</f>
        <v>0.30769230769230771</v>
      </c>
      <c r="F61" s="65">
        <f>IFERROR((C61+D61)/(C60+D60),0)</f>
        <v>0.52</v>
      </c>
      <c r="G61" s="52"/>
      <c r="H61" s="53"/>
    </row>
    <row r="62" spans="1:8">
      <c r="A62" s="113" t="s">
        <v>99</v>
      </c>
      <c r="B62" s="114"/>
      <c r="C62" s="68">
        <v>7</v>
      </c>
      <c r="D62" s="68">
        <v>3</v>
      </c>
      <c r="E62" s="65">
        <f>IFERROR(D62/D61,0)</f>
        <v>0.375</v>
      </c>
      <c r="F62" s="65">
        <f>IFERROR((C62+D62)/(C61+D61),0)</f>
        <v>0.38461538461538464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6</v>
      </c>
      <c r="D66" s="68">
        <v>18</v>
      </c>
      <c r="E66" s="65">
        <f>IFERROR(D66/D60,0)</f>
        <v>0.69230769230769229</v>
      </c>
      <c r="F66" s="65">
        <f>IFERROR((C66+D66)/(C60+D60),0)</f>
        <v>0.48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0.29166666666666669</v>
      </c>
      <c r="D68" s="66">
        <f>IFERROR(D62/D60,0)</f>
        <v>0.11538461538461539</v>
      </c>
      <c r="E68" s="66">
        <f>IFERROR(D62/(C60+D60),0)</f>
        <v>0.06</v>
      </c>
      <c r="F68" s="66">
        <f>IFERROR((C62+D62)/(C60+D60),0)</f>
        <v>0.2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1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1</v>
      </c>
      <c r="D106" s="70">
        <v>0</v>
      </c>
      <c r="E106" s="70">
        <v>0</v>
      </c>
      <c r="F106" s="72">
        <f>SUM(B106:E106)</f>
        <v>1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0</v>
      </c>
      <c r="E114" s="70">
        <v>0</v>
      </c>
      <c r="F114" s="72">
        <f t="shared" si="0"/>
        <v>0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1</v>
      </c>
      <c r="D115" s="72">
        <f t="shared" si="1"/>
        <v>0</v>
      </c>
      <c r="E115" s="72">
        <f t="shared" si="1"/>
        <v>0</v>
      </c>
      <c r="F115" s="72">
        <f t="shared" si="0"/>
        <v>1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45949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189" priority="1" stopIfTrue="1" operator="equal">
      <formula>"Green"</formula>
    </cfRule>
    <cfRule type="cellIs" dxfId="188" priority="2" stopIfTrue="1" operator="equal">
      <formula>"Red"</formula>
    </cfRule>
    <cfRule type="cellIs" dxfId="187" priority="3" stopIfTrue="1" operator="equal">
      <formula>"Yellow"</formula>
    </cfRule>
    <cfRule type="cellIs" dxfId="186" priority="4" stopIfTrue="1" operator="equal">
      <formula>"Blue"</formula>
    </cfRule>
    <cfRule type="cellIs" dxfId="185" priority="5" operator="equal">
      <formula>"Green Trending Yellow"</formula>
    </cfRule>
    <cfRule type="cellIs" dxfId="184" priority="6" operator="equal">
      <formula>"Yellow Trending Green"</formula>
    </cfRule>
    <cfRule type="cellIs" dxfId="183" priority="7" operator="equal">
      <formula>"Red Trending Green"</formula>
    </cfRule>
    <cfRule type="cellIs" dxfId="182" priority="8" operator="equal">
      <formula>"Green Trending Red"</formula>
    </cfRule>
    <cfRule type="cellIs" dxfId="181" priority="9" operator="equal">
      <formula>"Yellow Trending Red"</formula>
    </cfRule>
    <cfRule type="cellIs" dxfId="180" priority="10" operator="equal">
      <formula>"Red Trending Yellow"</formula>
    </cfRule>
    <cfRule type="cellIs" dxfId="179" priority="11" stopIfTrue="1" operator="equal">
      <formula>"White"</formula>
    </cfRule>
  </conditionalFormatting>
  <dataValidations count="3">
    <dataValidation type="list" allowBlank="1" showInputMessage="1" showErrorMessage="1" sqref="C5" xr:uid="{AB9EDBFF-3D30-4E8A-8BBD-4030F9BAA665}"/>
    <dataValidation type="list" allowBlank="1" showInputMessage="1" showErrorMessage="1" sqref="C6" xr:uid="{B543976B-417F-4F25-B910-24EED7DBB8B1}">
      <formula1>"SIT 1, SIT 2, UAT 1, UAT 2, SIT/UAT, Sprint"</formula1>
    </dataValidation>
    <dataValidation type="list" allowBlank="1" showInputMessage="1" showErrorMessage="1" sqref="C7:D7" xr:uid="{DB66CEEC-B8A0-4F63-806B-E938DB680C3E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4161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C0577-93B0-4E66-8763-D81CCD0B9995}">
  <sheetPr codeName="Sheet36"/>
  <dimension ref="A1:M230"/>
  <sheetViews>
    <sheetView topLeftCell="A43" workbookViewId="0">
      <selection activeCell="J7" sqref="J7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223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224</v>
      </c>
      <c r="D7" s="149"/>
      <c r="E7" s="52"/>
      <c r="F7" s="52"/>
      <c r="G7" s="52"/>
      <c r="H7" s="53"/>
      <c r="I7" s="51"/>
      <c r="J7" s="51" t="s">
        <v>221</v>
      </c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/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10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0</v>
      </c>
      <c r="D35" s="68">
        <v>0</v>
      </c>
      <c r="E35" s="60">
        <f>IFERROR((C35+D35)/C33,0)</f>
        <v>0</v>
      </c>
      <c r="F35" s="182"/>
      <c r="G35" s="183"/>
      <c r="H35" s="184"/>
    </row>
    <row r="36" spans="1:8">
      <c r="A36" s="113" t="s">
        <v>99</v>
      </c>
      <c r="B36" s="114"/>
      <c r="C36" s="68">
        <v>0</v>
      </c>
      <c r="D36" s="68">
        <v>0</v>
      </c>
      <c r="E36" s="60">
        <f>IFERROR((C36+D36)/(C35+D35),0)</f>
        <v>0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20</v>
      </c>
      <c r="D46" s="68">
        <v>130</v>
      </c>
      <c r="E46" s="60">
        <f>IFERROR(D46/(D46+C46),0)</f>
        <v>0.8666666666666667</v>
      </c>
      <c r="F46" s="64"/>
      <c r="G46" s="52"/>
      <c r="H46" s="53"/>
    </row>
    <row r="47" spans="1:8">
      <c r="A47" s="177" t="s">
        <v>216</v>
      </c>
      <c r="B47" s="178"/>
      <c r="C47" s="91">
        <v>3</v>
      </c>
      <c r="D47" s="91">
        <v>10</v>
      </c>
      <c r="E47" s="92">
        <f>IFERROR(D47/(D47+C47),0)</f>
        <v>0.76923076923076927</v>
      </c>
      <c r="F47" s="64"/>
      <c r="G47" s="52"/>
      <c r="H47" s="53"/>
    </row>
    <row r="48" spans="1:8">
      <c r="A48" s="115" t="s">
        <v>98</v>
      </c>
      <c r="B48" s="116"/>
      <c r="C48" s="68">
        <v>3</v>
      </c>
      <c r="D48" s="68">
        <v>10</v>
      </c>
      <c r="E48" s="60">
        <f>IFERROR(D48/(D48+C48),0)</f>
        <v>0.76923076923076927</v>
      </c>
      <c r="F48" s="65">
        <f>IFERROR((C48+D48)/(C46+D46),0)</f>
        <v>8.666666666666667E-2</v>
      </c>
      <c r="G48" s="52"/>
      <c r="H48" s="53"/>
    </row>
    <row r="49" spans="1:8">
      <c r="A49" s="113" t="s">
        <v>99</v>
      </c>
      <c r="B49" s="114"/>
      <c r="C49" s="68">
        <v>3</v>
      </c>
      <c r="D49" s="68">
        <v>10</v>
      </c>
      <c r="E49" s="65">
        <f>IFERROR(D49/D48,0)</f>
        <v>1</v>
      </c>
      <c r="F49" s="65">
        <f>IFERROR((C49+D49)/(C48+D48),0)</f>
        <v>1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6</v>
      </c>
      <c r="E50" s="65">
        <f>IFERROR(D50/D48,0)</f>
        <v>0.6</v>
      </c>
      <c r="F50" s="65">
        <f>IFERROR((C50+D50)/(C48+D48),0)</f>
        <v>0.46153846153846156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14</v>
      </c>
      <c r="E52" s="65">
        <f>IFERROR(D52/D46,0)</f>
        <v>0.1076923076923077</v>
      </c>
      <c r="F52" s="65">
        <f>IFERROR((C52+D52)/(C46+D46),0)</f>
        <v>9.3333333333333338E-2</v>
      </c>
      <c r="G52" s="52"/>
      <c r="H52" s="53"/>
    </row>
    <row r="53" spans="1:8">
      <c r="A53" s="113" t="s">
        <v>103</v>
      </c>
      <c r="B53" s="114"/>
      <c r="C53" s="68">
        <v>17</v>
      </c>
      <c r="D53" s="68">
        <v>120</v>
      </c>
      <c r="E53" s="65">
        <f>IFERROR(D53/D46,0)</f>
        <v>0.92307692307692313</v>
      </c>
      <c r="F53" s="65">
        <f>IFERROR((C53+D53)/(C46+D46),0)</f>
        <v>0.91333333333333333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0.15</v>
      </c>
      <c r="D55" s="66">
        <f>IFERROR(D49/D46,0)</f>
        <v>7.6923076923076927E-2</v>
      </c>
      <c r="E55" s="66">
        <f>IFERROR(D49/(C46+D46),0)</f>
        <v>6.6666666666666666E-2</v>
      </c>
      <c r="F55" s="66">
        <f>IFERROR((C49+D49)/(C46+D46),0)</f>
        <v>8.666666666666667E-2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20</v>
      </c>
      <c r="D60" s="68">
        <v>445</v>
      </c>
      <c r="E60" s="60">
        <f>IFERROR(D60/(D60+C60),0)</f>
        <v>0.956989247311828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3</v>
      </c>
      <c r="D61" s="68">
        <v>311</v>
      </c>
      <c r="E61" s="60">
        <f>IFERROR(D61/(D61+C61),0)</f>
        <v>0.99044585987261147</v>
      </c>
      <c r="F61" s="65">
        <f>IFERROR((C61+D61)/(C60+D60),0)</f>
        <v>0.6752688172043011</v>
      </c>
      <c r="G61" s="52"/>
      <c r="H61" s="53"/>
    </row>
    <row r="62" spans="1:8">
      <c r="A62" s="113" t="s">
        <v>99</v>
      </c>
      <c r="B62" s="114"/>
      <c r="C62" s="68">
        <v>3</v>
      </c>
      <c r="D62" s="68">
        <v>305</v>
      </c>
      <c r="E62" s="65">
        <f>IFERROR(D62/D61,0)</f>
        <v>0.98070739549839225</v>
      </c>
      <c r="F62" s="65">
        <f>IFERROR((C62+D62)/(C61+D61),0)</f>
        <v>0.98089171974522293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6</v>
      </c>
      <c r="E63" s="65">
        <f>IFERROR(D63/D61,0)</f>
        <v>1.9292604501607719E-2</v>
      </c>
      <c r="F63" s="65">
        <f>IFERROR((C63+D63)/(C61+D61),0)</f>
        <v>1.9108280254777069E-2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14</v>
      </c>
      <c r="E65" s="65">
        <f>IFERROR(D65/D60,0)</f>
        <v>3.1460674157303373E-2</v>
      </c>
      <c r="F65" s="65">
        <f>IFERROR((C65+D65)/(C60+D60),0)</f>
        <v>3.0107526881720432E-2</v>
      </c>
      <c r="G65" s="52"/>
      <c r="H65" s="53"/>
    </row>
    <row r="66" spans="1:8">
      <c r="A66" s="113" t="s">
        <v>103</v>
      </c>
      <c r="B66" s="114"/>
      <c r="C66" s="68">
        <v>17</v>
      </c>
      <c r="D66" s="68">
        <v>120</v>
      </c>
      <c r="E66" s="65">
        <f>IFERROR(D66/D60,0)</f>
        <v>0.2696629213483146</v>
      </c>
      <c r="F66" s="65">
        <f>IFERROR((C66+D66)/(C60+D60),0)</f>
        <v>0.29462365591397849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0.15</v>
      </c>
      <c r="D68" s="66">
        <f>IFERROR(D62/D60,0)</f>
        <v>0.6853932584269663</v>
      </c>
      <c r="E68" s="66">
        <f>IFERROR(D62/(C60+D60),0)</f>
        <v>0.65591397849462363</v>
      </c>
      <c r="F68" s="66">
        <f>IFERROR((C62+D62)/(C60+D60),0)</f>
        <v>0.66236559139784945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0</v>
      </c>
      <c r="E114" s="70">
        <v>0</v>
      </c>
      <c r="F114" s="72">
        <f t="shared" si="0"/>
        <v>0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0</v>
      </c>
      <c r="D115" s="72">
        <f t="shared" si="1"/>
        <v>0</v>
      </c>
      <c r="E115" s="72">
        <f t="shared" si="1"/>
        <v>0</v>
      </c>
      <c r="F115" s="72">
        <f t="shared" si="0"/>
        <v>0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45949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178" priority="1" stopIfTrue="1" operator="equal">
      <formula>"Green"</formula>
    </cfRule>
    <cfRule type="cellIs" dxfId="177" priority="2" stopIfTrue="1" operator="equal">
      <formula>"Red"</formula>
    </cfRule>
    <cfRule type="cellIs" dxfId="176" priority="3" stopIfTrue="1" operator="equal">
      <formula>"Yellow"</formula>
    </cfRule>
    <cfRule type="cellIs" dxfId="175" priority="4" stopIfTrue="1" operator="equal">
      <formula>"Blue"</formula>
    </cfRule>
    <cfRule type="cellIs" dxfId="174" priority="5" operator="equal">
      <formula>"Green Trending Yellow"</formula>
    </cfRule>
    <cfRule type="cellIs" dxfId="173" priority="6" operator="equal">
      <formula>"Yellow Trending Green"</formula>
    </cfRule>
    <cfRule type="cellIs" dxfId="172" priority="7" operator="equal">
      <formula>"Red Trending Green"</formula>
    </cfRule>
    <cfRule type="cellIs" dxfId="171" priority="8" operator="equal">
      <formula>"Green Trending Red"</formula>
    </cfRule>
    <cfRule type="cellIs" dxfId="170" priority="9" operator="equal">
      <formula>"Yellow Trending Red"</formula>
    </cfRule>
    <cfRule type="cellIs" dxfId="169" priority="10" operator="equal">
      <formula>"Red Trending Yellow"</formula>
    </cfRule>
    <cfRule type="cellIs" dxfId="168" priority="11" stopIfTrue="1" operator="equal">
      <formula>"White"</formula>
    </cfRule>
  </conditionalFormatting>
  <dataValidations count="3">
    <dataValidation type="list" allowBlank="1" showInputMessage="1" showErrorMessage="1" sqref="C5" xr:uid="{D916F180-F3BD-42F1-BCB9-65289E33FD9C}"/>
    <dataValidation type="list" allowBlank="1" showInputMessage="1" showErrorMessage="1" sqref="C6" xr:uid="{D3059890-7F18-4692-BA01-AC9FC16875EE}">
      <formula1>"SIT 1, SIT 2, UAT 1, UAT 2, SIT/UAT, Sprint"</formula1>
    </dataValidation>
    <dataValidation type="list" allowBlank="1" showInputMessage="1" showErrorMessage="1" sqref="C7:D7" xr:uid="{1A82BADB-3267-46B8-BB63-ECA059FF7AE6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3137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D30C7-E7F5-4AAA-81E0-7B21514AE587}">
  <sheetPr codeName="Sheet35"/>
  <dimension ref="A1:M230"/>
  <sheetViews>
    <sheetView topLeftCell="A96" workbookViewId="0">
      <selection activeCell="E114" sqref="E114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38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225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50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46</v>
      </c>
      <c r="D35" s="68">
        <v>10</v>
      </c>
      <c r="E35" s="60">
        <f>IFERROR((C35+D35)/C33,0)</f>
        <v>1.1200000000000001</v>
      </c>
      <c r="F35" s="182"/>
      <c r="G35" s="183"/>
      <c r="H35" s="184"/>
    </row>
    <row r="36" spans="1:8">
      <c r="A36" s="113" t="s">
        <v>99</v>
      </c>
      <c r="B36" s="114"/>
      <c r="C36" s="68">
        <v>45</v>
      </c>
      <c r="D36" s="68">
        <v>10</v>
      </c>
      <c r="E36" s="60">
        <f>IFERROR((C36+D36)/(C35+D35),0)</f>
        <v>0.9821428571428571</v>
      </c>
      <c r="F36" s="182"/>
      <c r="G36" s="183"/>
      <c r="H36" s="184"/>
    </row>
    <row r="37" spans="1:8">
      <c r="A37" s="113" t="s">
        <v>100</v>
      </c>
      <c r="B37" s="114"/>
      <c r="C37" s="68">
        <v>1</v>
      </c>
      <c r="D37" s="68">
        <v>0</v>
      </c>
      <c r="E37" s="60">
        <f>IFERROR((C37+D37)/(C35+D35),0)</f>
        <v>1.7857142857142856E-2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810</v>
      </c>
      <c r="D46" s="68">
        <v>120</v>
      </c>
      <c r="E46" s="60">
        <f>IFERROR(D46/(D46+C46),0)</f>
        <v>0.12903225806451613</v>
      </c>
      <c r="F46" s="64"/>
      <c r="G46" s="52"/>
      <c r="H46" s="53"/>
    </row>
    <row r="47" spans="1:8">
      <c r="A47" s="177" t="s">
        <v>216</v>
      </c>
      <c r="B47" s="178"/>
      <c r="C47" s="91">
        <v>680</v>
      </c>
      <c r="D47" s="91">
        <v>120</v>
      </c>
      <c r="E47" s="92">
        <f>IFERROR(D47/(D47+C47),0)</f>
        <v>0.15</v>
      </c>
      <c r="F47" s="64"/>
      <c r="G47" s="52"/>
      <c r="H47" s="53"/>
    </row>
    <row r="48" spans="1:8">
      <c r="A48" s="115" t="s">
        <v>98</v>
      </c>
      <c r="B48" s="116"/>
      <c r="C48" s="68">
        <v>627</v>
      </c>
      <c r="D48" s="68">
        <v>120</v>
      </c>
      <c r="E48" s="60">
        <f>IFERROR(D48/(D48+C48),0)</f>
        <v>0.1606425702811245</v>
      </c>
      <c r="F48" s="65">
        <f>IFERROR((C48+D48)/(C46+D46),0)</f>
        <v>0.8032258064516129</v>
      </c>
      <c r="G48" s="52"/>
      <c r="H48" s="53"/>
    </row>
    <row r="49" spans="1:8">
      <c r="A49" s="113" t="s">
        <v>99</v>
      </c>
      <c r="B49" s="114"/>
      <c r="C49" s="68">
        <v>602</v>
      </c>
      <c r="D49" s="68">
        <v>120</v>
      </c>
      <c r="E49" s="65">
        <f>IFERROR(D49/D48,0)</f>
        <v>1</v>
      </c>
      <c r="F49" s="65">
        <f>IFERROR((C49+D49)/(C48+D48),0)</f>
        <v>0.96653279785809909</v>
      </c>
      <c r="G49" s="52"/>
      <c r="H49" s="53"/>
    </row>
    <row r="50" spans="1:8">
      <c r="A50" s="113" t="s">
        <v>100</v>
      </c>
      <c r="B50" s="114"/>
      <c r="C50" s="68">
        <v>25</v>
      </c>
      <c r="D50" s="68">
        <v>0</v>
      </c>
      <c r="E50" s="65">
        <f>IFERROR(D50/D48,0)</f>
        <v>0</v>
      </c>
      <c r="F50" s="65">
        <f>IFERROR((C50+D50)/(C48+D48),0)</f>
        <v>3.3467202141900937E-2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6</v>
      </c>
      <c r="D52" s="68">
        <v>0</v>
      </c>
      <c r="E52" s="65">
        <f>IFERROR(D52/D46,0)</f>
        <v>0</v>
      </c>
      <c r="F52" s="65">
        <f>IFERROR((C52+D52)/(C46+D46),0)</f>
        <v>6.4516129032258064E-3</v>
      </c>
      <c r="G52" s="52"/>
      <c r="H52" s="53"/>
    </row>
    <row r="53" spans="1:8">
      <c r="A53" s="113" t="s">
        <v>103</v>
      </c>
      <c r="B53" s="114"/>
      <c r="C53" s="68">
        <v>177</v>
      </c>
      <c r="D53" s="68">
        <v>0</v>
      </c>
      <c r="E53" s="65">
        <f>IFERROR(D53/D46,0)</f>
        <v>0</v>
      </c>
      <c r="F53" s="65">
        <f>IFERROR((C53+D53)/(C46+D46),0)</f>
        <v>0.19032258064516128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0.74320987654320991</v>
      </c>
      <c r="D55" s="66">
        <f>IFERROR(D49/D46,0)</f>
        <v>1</v>
      </c>
      <c r="E55" s="66">
        <f>IFERROR(D49/(C46+D46),0)</f>
        <v>0.12903225806451613</v>
      </c>
      <c r="F55" s="66">
        <f>IFERROR((C49+D49)/(C46+D46),0)</f>
        <v>0.7763440860215054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810</v>
      </c>
      <c r="D60" s="68">
        <v>120</v>
      </c>
      <c r="E60" s="60">
        <f>IFERROR(D60/(D60+C60),0)</f>
        <v>0.12903225806451613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627</v>
      </c>
      <c r="D61" s="68">
        <v>120</v>
      </c>
      <c r="E61" s="60">
        <f>IFERROR(D61/(D61+C61),0)</f>
        <v>0.1606425702811245</v>
      </c>
      <c r="F61" s="65">
        <f>IFERROR((C61+D61)/(C60+D60),0)</f>
        <v>0.8032258064516129</v>
      </c>
      <c r="G61" s="52"/>
      <c r="H61" s="53"/>
    </row>
    <row r="62" spans="1:8">
      <c r="A62" s="113" t="s">
        <v>99</v>
      </c>
      <c r="B62" s="114"/>
      <c r="C62" s="68">
        <v>602</v>
      </c>
      <c r="D62" s="68">
        <v>120</v>
      </c>
      <c r="E62" s="65">
        <f>IFERROR(D62/D61,0)</f>
        <v>1</v>
      </c>
      <c r="F62" s="65">
        <f>IFERROR((C62+D62)/(C61+D61),0)</f>
        <v>0.96653279785809909</v>
      </c>
      <c r="G62" s="52"/>
      <c r="H62" s="53"/>
    </row>
    <row r="63" spans="1:8">
      <c r="A63" s="113" t="s">
        <v>100</v>
      </c>
      <c r="B63" s="114"/>
      <c r="C63" s="68">
        <v>25</v>
      </c>
      <c r="D63" s="68">
        <v>0</v>
      </c>
      <c r="E63" s="65">
        <f>IFERROR(D63/D61,0)</f>
        <v>0</v>
      </c>
      <c r="F63" s="65">
        <f>IFERROR((C63+D63)/(C61+D61),0)</f>
        <v>3.3467202141900937E-2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6</v>
      </c>
      <c r="D65" s="68">
        <v>0</v>
      </c>
      <c r="E65" s="65">
        <f>IFERROR(D65/D60,0)</f>
        <v>0</v>
      </c>
      <c r="F65" s="65">
        <f>IFERROR((C65+D65)/(C60+D60),0)</f>
        <v>6.4516129032258064E-3</v>
      </c>
      <c r="G65" s="52"/>
      <c r="H65" s="53"/>
    </row>
    <row r="66" spans="1:8">
      <c r="A66" s="113" t="s">
        <v>103</v>
      </c>
      <c r="B66" s="114"/>
      <c r="C66" s="68">
        <v>177</v>
      </c>
      <c r="D66" s="68">
        <v>0</v>
      </c>
      <c r="E66" s="65">
        <f>IFERROR(D66/D60,0)</f>
        <v>0</v>
      </c>
      <c r="F66" s="65">
        <f>IFERROR((C66+D66)/(C60+D60),0)</f>
        <v>0.19032258064516128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0.74320987654320991</v>
      </c>
      <c r="D68" s="66">
        <f>IFERROR(D62/D60,0)</f>
        <v>1</v>
      </c>
      <c r="E68" s="66">
        <f>IFERROR(D62/(C60+D60),0)</f>
        <v>0.12903225806451613</v>
      </c>
      <c r="F68" s="66">
        <f>IFERROR((C62+D62)/(C60+D60),0)</f>
        <v>0.7763440860215054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3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11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1</v>
      </c>
      <c r="C106" s="70">
        <v>2</v>
      </c>
      <c r="D106" s="70">
        <v>1</v>
      </c>
      <c r="E106" s="70">
        <v>0</v>
      </c>
      <c r="F106" s="72">
        <f>SUM(B106:E106)</f>
        <v>4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9</v>
      </c>
      <c r="D107" s="70">
        <v>2</v>
      </c>
      <c r="E107" s="70">
        <v>0</v>
      </c>
      <c r="F107" s="72">
        <f t="shared" ref="F107:F115" si="0">SUM(B107:E107)</f>
        <v>11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15</v>
      </c>
      <c r="D109" s="70">
        <v>1</v>
      </c>
      <c r="E109" s="70">
        <v>0</v>
      </c>
      <c r="F109" s="72">
        <f t="shared" si="0"/>
        <v>16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2</v>
      </c>
      <c r="D110" s="70">
        <v>0</v>
      </c>
      <c r="E110" s="70">
        <v>0</v>
      </c>
      <c r="F110" s="72">
        <f t="shared" si="0"/>
        <v>2</v>
      </c>
      <c r="G110" s="26"/>
      <c r="H110" s="31"/>
      <c r="I110" s="51"/>
    </row>
    <row r="111" spans="1:9">
      <c r="A111" s="69" t="s">
        <v>155</v>
      </c>
      <c r="B111" s="70">
        <v>1</v>
      </c>
      <c r="C111" s="70">
        <v>6</v>
      </c>
      <c r="D111" s="70">
        <v>0</v>
      </c>
      <c r="E111" s="70">
        <v>0</v>
      </c>
      <c r="F111" s="72">
        <f t="shared" si="0"/>
        <v>7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4</v>
      </c>
      <c r="C114" s="70">
        <v>62</v>
      </c>
      <c r="D114" s="70">
        <v>10</v>
      </c>
      <c r="E114" s="70">
        <v>0</v>
      </c>
      <c r="F114" s="72">
        <f t="shared" si="0"/>
        <v>76</v>
      </c>
      <c r="G114" s="26"/>
      <c r="H114" s="31"/>
    </row>
    <row r="115" spans="1:8">
      <c r="A115" s="69" t="s">
        <v>149</v>
      </c>
      <c r="B115" s="72">
        <f>SUM(B106:B114)</f>
        <v>6</v>
      </c>
      <c r="C115" s="72">
        <f t="shared" ref="C115:E115" si="1">SUM(C106:C114)</f>
        <v>96</v>
      </c>
      <c r="D115" s="72">
        <f t="shared" si="1"/>
        <v>14</v>
      </c>
      <c r="E115" s="72">
        <f t="shared" si="1"/>
        <v>0</v>
      </c>
      <c r="F115" s="72">
        <f t="shared" si="0"/>
        <v>116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167" priority="1" stopIfTrue="1" operator="equal">
      <formula>"Green"</formula>
    </cfRule>
    <cfRule type="cellIs" dxfId="166" priority="2" stopIfTrue="1" operator="equal">
      <formula>"Red"</formula>
    </cfRule>
    <cfRule type="cellIs" dxfId="165" priority="3" stopIfTrue="1" operator="equal">
      <formula>"Yellow"</formula>
    </cfRule>
    <cfRule type="cellIs" dxfId="164" priority="4" stopIfTrue="1" operator="equal">
      <formula>"Blue"</formula>
    </cfRule>
    <cfRule type="cellIs" dxfId="163" priority="5" operator="equal">
      <formula>"Green Trending Yellow"</formula>
    </cfRule>
    <cfRule type="cellIs" dxfId="162" priority="6" operator="equal">
      <formula>"Yellow Trending Green"</formula>
    </cfRule>
    <cfRule type="cellIs" dxfId="161" priority="7" operator="equal">
      <formula>"Red Trending Green"</formula>
    </cfRule>
    <cfRule type="cellIs" dxfId="160" priority="8" operator="equal">
      <formula>"Green Trending Red"</formula>
    </cfRule>
    <cfRule type="cellIs" dxfId="159" priority="9" operator="equal">
      <formula>"Yellow Trending Red"</formula>
    </cfRule>
    <cfRule type="cellIs" dxfId="158" priority="10" operator="equal">
      <formula>"Red Trending Yellow"</formula>
    </cfRule>
    <cfRule type="cellIs" dxfId="157" priority="11" stopIfTrue="1" operator="equal">
      <formula>"White"</formula>
    </cfRule>
  </conditionalFormatting>
  <dataValidations count="3">
    <dataValidation type="list" allowBlank="1" showInputMessage="1" showErrorMessage="1" sqref="C5" xr:uid="{91D74362-BA11-43B9-89E0-698F8EC2B8AE}"/>
    <dataValidation type="list" allowBlank="1" showInputMessage="1" showErrorMessage="1" sqref="C6" xr:uid="{FB14F97F-6105-4923-AC50-CE58674D6345}">
      <formula1>"SIT 1, SIT 2, UAT 1, UAT 2, SIT/UAT, Sprint"</formula1>
    </dataValidation>
    <dataValidation type="list" allowBlank="1" showInputMessage="1" showErrorMessage="1" sqref="C7:D7" xr:uid="{0978192A-3AA2-4ABD-BBF8-7E1D5780B413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2113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8C215-52C9-49D7-88A7-80B5B5555DFE}">
  <sheetPr codeName="Sheet34"/>
  <dimension ref="A1:M230"/>
  <sheetViews>
    <sheetView topLeftCell="A99" workbookViewId="0">
      <selection activeCell="C112" sqref="C112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60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 t="s">
        <v>226</v>
      </c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10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6</v>
      </c>
      <c r="D35" s="68">
        <v>4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6</v>
      </c>
      <c r="D36" s="68">
        <v>4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117</v>
      </c>
      <c r="D46" s="68">
        <v>50</v>
      </c>
      <c r="E46" s="60">
        <f>IFERROR(D46/(D46+C46),0)</f>
        <v>0.29940119760479039</v>
      </c>
      <c r="F46" s="64"/>
      <c r="G46" s="52"/>
      <c r="H46" s="53"/>
    </row>
    <row r="47" spans="1:8">
      <c r="A47" s="177" t="s">
        <v>216</v>
      </c>
      <c r="B47" s="178"/>
      <c r="C47" s="91">
        <v>17</v>
      </c>
      <c r="D47" s="91">
        <v>10</v>
      </c>
      <c r="E47" s="92">
        <f>IFERROR(D47/(D47+C47),0)</f>
        <v>0.37037037037037035</v>
      </c>
      <c r="F47" s="64"/>
      <c r="G47" s="52"/>
      <c r="H47" s="53"/>
    </row>
    <row r="48" spans="1:8">
      <c r="A48" s="115" t="s">
        <v>98</v>
      </c>
      <c r="B48" s="116"/>
      <c r="C48" s="68">
        <v>17</v>
      </c>
      <c r="D48" s="68">
        <v>10</v>
      </c>
      <c r="E48" s="60">
        <f>IFERROR(D48/(D48+C48),0)</f>
        <v>0.37037037037037035</v>
      </c>
      <c r="F48" s="65">
        <f>IFERROR((C48+D48)/(C46+D46),0)</f>
        <v>0.16167664670658682</v>
      </c>
      <c r="G48" s="52"/>
      <c r="H48" s="53"/>
    </row>
    <row r="49" spans="1:8">
      <c r="A49" s="113" t="s">
        <v>99</v>
      </c>
      <c r="B49" s="114"/>
      <c r="C49" s="68">
        <v>17</v>
      </c>
      <c r="D49" s="68">
        <v>10</v>
      </c>
      <c r="E49" s="65">
        <f>IFERROR(D49/D48,0)</f>
        <v>1</v>
      </c>
      <c r="F49" s="65">
        <f>IFERROR((C49+D49)/(C48+D48),0)</f>
        <v>1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100</v>
      </c>
      <c r="D53" s="68">
        <v>40</v>
      </c>
      <c r="E53" s="65">
        <f>IFERROR(D53/D46,0)</f>
        <v>0.8</v>
      </c>
      <c r="F53" s="65">
        <f>IFERROR((C53+D53)/(C46+D46),0)</f>
        <v>0.83832335329341312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0.14529914529914531</v>
      </c>
      <c r="D55" s="66">
        <f>IFERROR(D49/D46,0)</f>
        <v>0.2</v>
      </c>
      <c r="E55" s="66">
        <f>IFERROR(D49/(C46+D46),0)</f>
        <v>5.9880239520958084E-2</v>
      </c>
      <c r="F55" s="66">
        <f>IFERROR((C49+D49)/(C46+D46),0)</f>
        <v>0.16167664670658682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271</v>
      </c>
      <c r="D60" s="68">
        <v>192</v>
      </c>
      <c r="E60" s="60">
        <f>IFERROR(D60/(D60+C60),0)</f>
        <v>0.41468682505399568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171</v>
      </c>
      <c r="D61" s="68">
        <v>152</v>
      </c>
      <c r="E61" s="60">
        <f>IFERROR(D61/(D61+C61),0)</f>
        <v>0.47058823529411764</v>
      </c>
      <c r="F61" s="65">
        <f>IFERROR((C61+D61)/(C60+D60),0)</f>
        <v>0.69762419006479481</v>
      </c>
      <c r="G61" s="52"/>
      <c r="H61" s="53"/>
    </row>
    <row r="62" spans="1:8">
      <c r="A62" s="113" t="s">
        <v>99</v>
      </c>
      <c r="B62" s="114"/>
      <c r="C62" s="68">
        <v>171</v>
      </c>
      <c r="D62" s="68">
        <v>152</v>
      </c>
      <c r="E62" s="65">
        <f>IFERROR(D62/D61,0)</f>
        <v>1</v>
      </c>
      <c r="F62" s="65">
        <f>IFERROR((C62+D62)/(C61+D61),0)</f>
        <v>1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100</v>
      </c>
      <c r="D66" s="68">
        <v>40</v>
      </c>
      <c r="E66" s="65">
        <f>IFERROR(D66/D60,0)</f>
        <v>0.20833333333333334</v>
      </c>
      <c r="F66" s="65">
        <f>IFERROR((C66+D66)/(C60+D60),0)</f>
        <v>0.30237580993520519</v>
      </c>
      <c r="G66" s="52"/>
      <c r="H66" s="53"/>
    </row>
    <row r="67" spans="1:8" ht="16.5" customHeight="1">
      <c r="A67" s="113" t="s">
        <v>104</v>
      </c>
      <c r="B67" s="114"/>
      <c r="C67" s="68">
        <v>6</v>
      </c>
      <c r="D67" s="68">
        <v>0</v>
      </c>
      <c r="E67" s="65">
        <f>IFERROR(D67/D60,0)</f>
        <v>0</v>
      </c>
      <c r="F67" s="65">
        <f>IFERROR((C67+D67)/(C60+D60),0)</f>
        <v>1.2958963282937365E-2</v>
      </c>
      <c r="G67" s="52"/>
      <c r="H67" s="53"/>
    </row>
    <row r="68" spans="1:8">
      <c r="A68" s="117" t="s">
        <v>110</v>
      </c>
      <c r="B68" s="118"/>
      <c r="C68" s="66">
        <f>IFERROR(C62/C60,0)</f>
        <v>0.63099630996309963</v>
      </c>
      <c r="D68" s="66">
        <f>IFERROR(D62/D60,0)</f>
        <v>0.79166666666666663</v>
      </c>
      <c r="E68" s="66">
        <f>IFERROR(D62/(C60+D60),0)</f>
        <v>0.3282937365010799</v>
      </c>
      <c r="F68" s="66">
        <f>IFERROR((C62+D62)/(C60+D60),0)</f>
        <v>0.69762419006479481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1</v>
      </c>
      <c r="D106" s="70">
        <v>0</v>
      </c>
      <c r="E106" s="70">
        <v>0</v>
      </c>
      <c r="F106" s="72">
        <f>SUM(B106:E106)</f>
        <v>1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1</v>
      </c>
      <c r="D114" s="70">
        <v>0</v>
      </c>
      <c r="E114" s="70">
        <v>0</v>
      </c>
      <c r="F114" s="72">
        <f t="shared" si="0"/>
        <v>1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2</v>
      </c>
      <c r="D115" s="72">
        <f t="shared" si="1"/>
        <v>0</v>
      </c>
      <c r="E115" s="72">
        <f t="shared" si="1"/>
        <v>0</v>
      </c>
      <c r="F115" s="72">
        <f t="shared" si="0"/>
        <v>2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156" priority="1" stopIfTrue="1" operator="equal">
      <formula>"Green"</formula>
    </cfRule>
    <cfRule type="cellIs" dxfId="155" priority="2" stopIfTrue="1" operator="equal">
      <formula>"Red"</formula>
    </cfRule>
    <cfRule type="cellIs" dxfId="154" priority="3" stopIfTrue="1" operator="equal">
      <formula>"Yellow"</formula>
    </cfRule>
    <cfRule type="cellIs" dxfId="153" priority="4" stopIfTrue="1" operator="equal">
      <formula>"Blue"</formula>
    </cfRule>
    <cfRule type="cellIs" dxfId="152" priority="5" operator="equal">
      <formula>"Green Trending Yellow"</formula>
    </cfRule>
    <cfRule type="cellIs" dxfId="151" priority="6" operator="equal">
      <formula>"Yellow Trending Green"</formula>
    </cfRule>
    <cfRule type="cellIs" dxfId="150" priority="7" operator="equal">
      <formula>"Red Trending Green"</formula>
    </cfRule>
    <cfRule type="cellIs" dxfId="149" priority="8" operator="equal">
      <formula>"Green Trending Red"</formula>
    </cfRule>
    <cfRule type="cellIs" dxfId="148" priority="9" operator="equal">
      <formula>"Yellow Trending Red"</formula>
    </cfRule>
    <cfRule type="cellIs" dxfId="147" priority="10" operator="equal">
      <formula>"Red Trending Yellow"</formula>
    </cfRule>
    <cfRule type="cellIs" dxfId="146" priority="11" stopIfTrue="1" operator="equal">
      <formula>"White"</formula>
    </cfRule>
  </conditionalFormatting>
  <dataValidations count="3">
    <dataValidation type="list" allowBlank="1" showInputMessage="1" showErrorMessage="1" sqref="C5" xr:uid="{CBDDC32E-3DAE-47EC-AC5C-BE3909569E0D}"/>
    <dataValidation type="list" allowBlank="1" showInputMessage="1" showErrorMessage="1" sqref="C6" xr:uid="{ABBA6573-282D-41EB-9F2E-E880DC4FC4F0}">
      <formula1>"SIT 1, SIT 2, UAT 1, UAT 2, SIT/UAT, Sprint"</formula1>
    </dataValidation>
    <dataValidation type="list" allowBlank="1" showInputMessage="1" showErrorMessage="1" sqref="C7:D7" xr:uid="{9CD53D23-583F-4B6B-AAFC-E3F69BC1846D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1089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87418-E88D-4588-9924-F12C2EB2B44F}">
  <sheetPr codeName="Sheet33"/>
  <dimension ref="A1:M230"/>
  <sheetViews>
    <sheetView topLeftCell="A99" workbookViewId="0">
      <selection activeCell="E114" sqref="E114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63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 t="s">
        <v>227</v>
      </c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85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45</v>
      </c>
      <c r="D35" s="68">
        <v>40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45</v>
      </c>
      <c r="D36" s="68">
        <v>40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538</v>
      </c>
      <c r="D46" s="68">
        <v>450</v>
      </c>
      <c r="E46" s="60">
        <f>IFERROR(D46/(D46+C46),0)</f>
        <v>0.45546558704453444</v>
      </c>
      <c r="F46" s="64"/>
      <c r="G46" s="52"/>
      <c r="H46" s="53"/>
    </row>
    <row r="47" spans="1:8">
      <c r="A47" s="177" t="s">
        <v>216</v>
      </c>
      <c r="B47" s="178"/>
      <c r="C47" s="91">
        <v>447</v>
      </c>
      <c r="D47" s="91">
        <v>372</v>
      </c>
      <c r="E47" s="92">
        <f>IFERROR(D47/(D47+C47),0)</f>
        <v>0.45421245421245421</v>
      </c>
      <c r="F47" s="64"/>
      <c r="G47" s="52"/>
      <c r="H47" s="53"/>
    </row>
    <row r="48" spans="1:8">
      <c r="A48" s="115" t="s">
        <v>98</v>
      </c>
      <c r="B48" s="116"/>
      <c r="C48" s="68">
        <v>447</v>
      </c>
      <c r="D48" s="68">
        <v>372</v>
      </c>
      <c r="E48" s="60">
        <f>IFERROR(D48/(D48+C48),0)</f>
        <v>0.45421245421245421</v>
      </c>
      <c r="F48" s="65">
        <f>IFERROR((C48+D48)/(C46+D46),0)</f>
        <v>0.82894736842105265</v>
      </c>
      <c r="G48" s="52"/>
      <c r="H48" s="53"/>
    </row>
    <row r="49" spans="1:8">
      <c r="A49" s="113" t="s">
        <v>99</v>
      </c>
      <c r="B49" s="114"/>
      <c r="C49" s="68">
        <v>435</v>
      </c>
      <c r="D49" s="68">
        <v>372</v>
      </c>
      <c r="E49" s="65">
        <f>IFERROR(D49/D48,0)</f>
        <v>1</v>
      </c>
      <c r="F49" s="65">
        <f>IFERROR((C49+D49)/(C48+D48),0)</f>
        <v>0.9853479853479854</v>
      </c>
      <c r="G49" s="52"/>
      <c r="H49" s="53"/>
    </row>
    <row r="50" spans="1:8">
      <c r="A50" s="113" t="s">
        <v>100</v>
      </c>
      <c r="B50" s="114"/>
      <c r="C50" s="68">
        <v>8</v>
      </c>
      <c r="D50" s="68">
        <v>0</v>
      </c>
      <c r="E50" s="65">
        <f>IFERROR(D50/D48,0)</f>
        <v>0</v>
      </c>
      <c r="F50" s="65">
        <f>IFERROR((C50+D50)/(C48+D48),0)</f>
        <v>9.768009768009768E-3</v>
      </c>
      <c r="G50" s="52"/>
      <c r="H50" s="53"/>
    </row>
    <row r="51" spans="1:8">
      <c r="A51" s="113" t="s">
        <v>102</v>
      </c>
      <c r="B51" s="114"/>
      <c r="C51" s="68">
        <v>12</v>
      </c>
      <c r="D51" s="68">
        <v>0</v>
      </c>
      <c r="E51" s="65">
        <f>IFERROR(D51/D46,0)</f>
        <v>0</v>
      </c>
      <c r="F51" s="65">
        <f>IFERROR((C51+D51)/(C46+D46),0)</f>
        <v>1.2145748987854251E-2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91</v>
      </c>
      <c r="D53" s="68">
        <v>78</v>
      </c>
      <c r="E53" s="65">
        <f>IFERROR(D53/D46,0)</f>
        <v>0.17333333333333334</v>
      </c>
      <c r="F53" s="65">
        <f>IFERROR((C53+D53)/(C46+D46),0)</f>
        <v>0.17105263157894737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0.80855018587360594</v>
      </c>
      <c r="D55" s="66">
        <f>IFERROR(D49/D46,0)</f>
        <v>0.82666666666666666</v>
      </c>
      <c r="E55" s="66">
        <f>IFERROR(D49/(C46+D46),0)</f>
        <v>0.37651821862348178</v>
      </c>
      <c r="F55" s="66">
        <f>IFERROR((C49+D49)/(C46+D46),0)</f>
        <v>0.8168016194331984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1078</v>
      </c>
      <c r="D60" s="68">
        <v>800</v>
      </c>
      <c r="E60" s="60">
        <f>IFERROR(D60/(D60+C60),0)</f>
        <v>0.42598509052183176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447</v>
      </c>
      <c r="D61" s="68">
        <v>372</v>
      </c>
      <c r="E61" s="60">
        <f>IFERROR(D61/(D61+C61),0)</f>
        <v>0.45421245421245421</v>
      </c>
      <c r="F61" s="65">
        <f>IFERROR((C61+D61)/(C60+D60),0)</f>
        <v>0.43610223642172524</v>
      </c>
      <c r="G61" s="52"/>
      <c r="H61" s="53"/>
    </row>
    <row r="62" spans="1:8">
      <c r="A62" s="113" t="s">
        <v>99</v>
      </c>
      <c r="B62" s="114"/>
      <c r="C62" s="68">
        <v>435</v>
      </c>
      <c r="D62" s="68">
        <v>372</v>
      </c>
      <c r="E62" s="65">
        <f>IFERROR(D62/D61,0)</f>
        <v>1</v>
      </c>
      <c r="F62" s="65">
        <f>IFERROR((C62+D62)/(C61+D61),0)</f>
        <v>0.9853479853479854</v>
      </c>
      <c r="G62" s="52"/>
      <c r="H62" s="53"/>
    </row>
    <row r="63" spans="1:8">
      <c r="A63" s="113" t="s">
        <v>100</v>
      </c>
      <c r="B63" s="114"/>
      <c r="C63" s="68">
        <v>8</v>
      </c>
      <c r="D63" s="68">
        <v>0</v>
      </c>
      <c r="E63" s="65">
        <f>IFERROR(D63/D61,0)</f>
        <v>0</v>
      </c>
      <c r="F63" s="65">
        <f>IFERROR((C63+D63)/(C61+D61),0)</f>
        <v>9.768009768009768E-3</v>
      </c>
      <c r="G63" s="52"/>
      <c r="H63" s="53"/>
    </row>
    <row r="64" spans="1:8" ht="16.5" customHeight="1">
      <c r="A64" s="113" t="s">
        <v>102</v>
      </c>
      <c r="B64" s="114"/>
      <c r="C64" s="68">
        <v>12</v>
      </c>
      <c r="D64" s="68">
        <v>0</v>
      </c>
      <c r="E64" s="65">
        <f>IFERROR(D64/D60,0)</f>
        <v>0</v>
      </c>
      <c r="F64" s="65">
        <f>IFERROR((C64+D64)/(C60+D60),0)</f>
        <v>6.3897763578274758E-3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631</v>
      </c>
      <c r="D66" s="68">
        <v>428</v>
      </c>
      <c r="E66" s="65">
        <f>IFERROR(D66/D60,0)</f>
        <v>0.53500000000000003</v>
      </c>
      <c r="F66" s="65">
        <f>IFERROR((C66+D66)/(C60+D60),0)</f>
        <v>0.56389776357827481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0.40352504638218922</v>
      </c>
      <c r="D68" s="66">
        <f>IFERROR(D62/D60,0)</f>
        <v>0.46500000000000002</v>
      </c>
      <c r="E68" s="66">
        <f>IFERROR(D62/(C60+D60),0)</f>
        <v>0.19808306709265175</v>
      </c>
      <c r="F68" s="66">
        <f>IFERROR((C62+D62)/(C60+D60),0)</f>
        <v>0.42971246006389774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3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5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6</v>
      </c>
      <c r="D107" s="70">
        <v>0</v>
      </c>
      <c r="E107" s="70">
        <v>0</v>
      </c>
      <c r="F107" s="72">
        <f t="shared" ref="F107:F115" si="0">SUM(B107:E107)</f>
        <v>6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1</v>
      </c>
      <c r="C114" s="70">
        <v>6</v>
      </c>
      <c r="D114" s="70">
        <v>4</v>
      </c>
      <c r="E114" s="70">
        <v>0</v>
      </c>
      <c r="F114" s="72">
        <f t="shared" si="0"/>
        <v>11</v>
      </c>
      <c r="G114" s="26"/>
      <c r="H114" s="31"/>
    </row>
    <row r="115" spans="1:8">
      <c r="A115" s="69" t="s">
        <v>149</v>
      </c>
      <c r="B115" s="72">
        <f>SUM(B106:B114)</f>
        <v>1</v>
      </c>
      <c r="C115" s="72">
        <f t="shared" ref="C115:E115" si="1">SUM(C106:C114)</f>
        <v>12</v>
      </c>
      <c r="D115" s="72">
        <f t="shared" si="1"/>
        <v>4</v>
      </c>
      <c r="E115" s="72">
        <f t="shared" si="1"/>
        <v>0</v>
      </c>
      <c r="F115" s="72">
        <f t="shared" si="0"/>
        <v>17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145" priority="1" stopIfTrue="1" operator="equal">
      <formula>"Green"</formula>
    </cfRule>
    <cfRule type="cellIs" dxfId="144" priority="2" stopIfTrue="1" operator="equal">
      <formula>"Red"</formula>
    </cfRule>
    <cfRule type="cellIs" dxfId="143" priority="3" stopIfTrue="1" operator="equal">
      <formula>"Yellow"</formula>
    </cfRule>
    <cfRule type="cellIs" dxfId="142" priority="4" stopIfTrue="1" operator="equal">
      <formula>"Blue"</formula>
    </cfRule>
    <cfRule type="cellIs" dxfId="141" priority="5" operator="equal">
      <formula>"Green Trending Yellow"</formula>
    </cfRule>
    <cfRule type="cellIs" dxfId="140" priority="6" operator="equal">
      <formula>"Yellow Trending Green"</formula>
    </cfRule>
    <cfRule type="cellIs" dxfId="139" priority="7" operator="equal">
      <formula>"Red Trending Green"</formula>
    </cfRule>
    <cfRule type="cellIs" dxfId="138" priority="8" operator="equal">
      <formula>"Green Trending Red"</formula>
    </cfRule>
    <cfRule type="cellIs" dxfId="137" priority="9" operator="equal">
      <formula>"Yellow Trending Red"</formula>
    </cfRule>
    <cfRule type="cellIs" dxfId="136" priority="10" operator="equal">
      <formula>"Red Trending Yellow"</formula>
    </cfRule>
    <cfRule type="cellIs" dxfId="135" priority="11" stopIfTrue="1" operator="equal">
      <formula>"White"</formula>
    </cfRule>
  </conditionalFormatting>
  <dataValidations count="3">
    <dataValidation type="list" allowBlank="1" showInputMessage="1" showErrorMessage="1" sqref="C5" xr:uid="{B75B6952-C185-4BA5-80B9-9AC70134E6E2}"/>
    <dataValidation type="list" allowBlank="1" showInputMessage="1" showErrorMessage="1" sqref="C6" xr:uid="{38DB0F17-63B1-45A3-B054-E17261309FB5}">
      <formula1>"SIT 1, SIT 2, UAT 1, UAT 2, SIT/UAT, Sprint"</formula1>
    </dataValidation>
    <dataValidation type="list" allowBlank="1" showInputMessage="1" showErrorMessage="1" sqref="C7:D7" xr:uid="{474593EC-3AC3-4DA8-8A06-E9CB0F2C637F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0065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8DFF6-B611-45AB-A56F-DC0961969998}">
  <sheetPr codeName="Sheet31"/>
  <dimension ref="A1:M230"/>
  <sheetViews>
    <sheetView workbookViewId="0">
      <selection activeCell="A11" sqref="A11:E15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41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228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45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0</v>
      </c>
      <c r="D35" s="68">
        <v>45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0</v>
      </c>
      <c r="D36" s="68">
        <v>45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6</v>
      </c>
      <c r="E37" s="60">
        <f>IFERROR((C37+D37)/(C35+D35),0)</f>
        <v>0.13333333333333333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327</v>
      </c>
      <c r="D46" s="68">
        <v>401</v>
      </c>
      <c r="E46" s="60">
        <f>IFERROR(D46/(D46+C46),0)</f>
        <v>0.55082417582417587</v>
      </c>
      <c r="F46" s="64"/>
      <c r="G46" s="52"/>
      <c r="H46" s="53"/>
    </row>
    <row r="47" spans="1:8">
      <c r="A47" s="177" t="s">
        <v>216</v>
      </c>
      <c r="B47" s="178"/>
      <c r="C47" s="91">
        <v>327</v>
      </c>
      <c r="D47" s="91">
        <v>401</v>
      </c>
      <c r="E47" s="92">
        <f>IFERROR(D47/(D47+C47),0)</f>
        <v>0.55082417582417587</v>
      </c>
      <c r="F47" s="64"/>
      <c r="G47" s="52"/>
      <c r="H47" s="53"/>
    </row>
    <row r="48" spans="1:8">
      <c r="A48" s="115" t="s">
        <v>98</v>
      </c>
      <c r="B48" s="116"/>
      <c r="C48" s="68">
        <v>327</v>
      </c>
      <c r="D48" s="68">
        <v>401</v>
      </c>
      <c r="E48" s="60">
        <f>IFERROR(D48/(D48+C48),0)</f>
        <v>0.55082417582417587</v>
      </c>
      <c r="F48" s="65">
        <f>IFERROR((C48+D48)/(C46+D46),0)</f>
        <v>1</v>
      </c>
      <c r="G48" s="52"/>
      <c r="H48" s="53"/>
    </row>
    <row r="49" spans="1:8">
      <c r="A49" s="113" t="s">
        <v>99</v>
      </c>
      <c r="B49" s="114"/>
      <c r="C49" s="68">
        <v>325</v>
      </c>
      <c r="D49" s="68">
        <v>401</v>
      </c>
      <c r="E49" s="65">
        <f>IFERROR(D49/D48,0)</f>
        <v>1</v>
      </c>
      <c r="F49" s="65">
        <f>IFERROR((C49+D49)/(C48+D48),0)</f>
        <v>0.99725274725274726</v>
      </c>
      <c r="G49" s="52"/>
      <c r="H49" s="53"/>
    </row>
    <row r="50" spans="1:8">
      <c r="A50" s="113" t="s">
        <v>100</v>
      </c>
      <c r="B50" s="114"/>
      <c r="C50" s="68">
        <v>2</v>
      </c>
      <c r="D50" s="68">
        <v>0</v>
      </c>
      <c r="E50" s="65">
        <f>IFERROR(D50/D48,0)</f>
        <v>0</v>
      </c>
      <c r="F50" s="65">
        <f>IFERROR((C50+D50)/(C48+D48),0)</f>
        <v>2.7472527472527475E-3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0</v>
      </c>
      <c r="D53" s="68">
        <v>0</v>
      </c>
      <c r="E53" s="65">
        <f>IFERROR(D53/D46,0)</f>
        <v>0</v>
      </c>
      <c r="F53" s="65">
        <f>IFERROR((C53+D53)/(C46+D46),0)</f>
        <v>0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0.99388379204892963</v>
      </c>
      <c r="D55" s="66">
        <f>IFERROR(D49/D46,0)</f>
        <v>1</v>
      </c>
      <c r="E55" s="66">
        <f>IFERROR(D49/(C46+D46),0)</f>
        <v>0.55082417582417587</v>
      </c>
      <c r="F55" s="66">
        <f>IFERROR((C49+D49)/(C46+D46),0)</f>
        <v>0.99725274725274726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327</v>
      </c>
      <c r="D60" s="68">
        <v>401</v>
      </c>
      <c r="E60" s="60">
        <f>IFERROR(D60/(D60+C60),0)</f>
        <v>0.55082417582417587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327</v>
      </c>
      <c r="D61" s="68">
        <v>401</v>
      </c>
      <c r="E61" s="60">
        <f>IFERROR(D61/(D61+C61),0)</f>
        <v>0.55082417582417587</v>
      </c>
      <c r="F61" s="65">
        <f>IFERROR((C61+D61)/(C60+D60),0)</f>
        <v>1</v>
      </c>
      <c r="G61" s="52"/>
      <c r="H61" s="53"/>
    </row>
    <row r="62" spans="1:8">
      <c r="A62" s="113" t="s">
        <v>99</v>
      </c>
      <c r="B62" s="114"/>
      <c r="C62" s="68">
        <v>325</v>
      </c>
      <c r="D62" s="68">
        <v>401</v>
      </c>
      <c r="E62" s="65">
        <f>IFERROR(D62/D61,0)</f>
        <v>1</v>
      </c>
      <c r="F62" s="65">
        <f>IFERROR((C62+D62)/(C61+D61),0)</f>
        <v>0.99725274725274726</v>
      </c>
      <c r="G62" s="52"/>
      <c r="H62" s="53"/>
    </row>
    <row r="63" spans="1:8">
      <c r="A63" s="113" t="s">
        <v>100</v>
      </c>
      <c r="B63" s="114"/>
      <c r="C63" s="68">
        <v>2</v>
      </c>
      <c r="D63" s="68">
        <v>0</v>
      </c>
      <c r="E63" s="65">
        <f>IFERROR(D63/D61,0)</f>
        <v>0</v>
      </c>
      <c r="F63" s="65">
        <f>IFERROR((C63+D63)/(C61+D61),0)</f>
        <v>2.7472527472527475E-3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0</v>
      </c>
      <c r="D66" s="68">
        <v>0</v>
      </c>
      <c r="E66" s="65">
        <f>IFERROR(D66/D60,0)</f>
        <v>0</v>
      </c>
      <c r="F66" s="65">
        <f>IFERROR((C66+D66)/(C60+D60),0)</f>
        <v>0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0.99388379204892963</v>
      </c>
      <c r="D68" s="66">
        <f>IFERROR(D62/D60,0)</f>
        <v>1</v>
      </c>
      <c r="E68" s="66">
        <f>IFERROR(D62/(C60+D60),0)</f>
        <v>0.55082417582417587</v>
      </c>
      <c r="F68" s="66">
        <f>IFERROR((C62+D62)/(C60+D60),0)</f>
        <v>0.99725274725274726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11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1</v>
      </c>
      <c r="D109" s="70">
        <v>0</v>
      </c>
      <c r="E109" s="70">
        <v>0</v>
      </c>
      <c r="F109" s="72">
        <f t="shared" si="0"/>
        <v>1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1</v>
      </c>
      <c r="D111" s="70">
        <v>0</v>
      </c>
      <c r="E111" s="70">
        <v>0</v>
      </c>
      <c r="F111" s="72">
        <f t="shared" si="0"/>
        <v>1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8</v>
      </c>
      <c r="C114" s="70">
        <v>50</v>
      </c>
      <c r="D114" s="70">
        <v>33</v>
      </c>
      <c r="E114" s="70">
        <v>0</v>
      </c>
      <c r="F114" s="72">
        <f t="shared" si="0"/>
        <v>91</v>
      </c>
      <c r="G114" s="26"/>
      <c r="H114" s="31"/>
    </row>
    <row r="115" spans="1:8">
      <c r="A115" s="69" t="s">
        <v>149</v>
      </c>
      <c r="B115" s="72">
        <f>SUM(B106:B114)</f>
        <v>8</v>
      </c>
      <c r="C115" s="72">
        <f t="shared" ref="C115:E115" si="1">SUM(C106:C114)</f>
        <v>52</v>
      </c>
      <c r="D115" s="72">
        <f t="shared" si="1"/>
        <v>33</v>
      </c>
      <c r="E115" s="72">
        <f t="shared" si="1"/>
        <v>0</v>
      </c>
      <c r="F115" s="72">
        <f t="shared" si="0"/>
        <v>93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134" priority="1" stopIfTrue="1" operator="equal">
      <formula>"Green"</formula>
    </cfRule>
    <cfRule type="cellIs" dxfId="133" priority="2" stopIfTrue="1" operator="equal">
      <formula>"Red"</formula>
    </cfRule>
    <cfRule type="cellIs" dxfId="132" priority="3" stopIfTrue="1" operator="equal">
      <formula>"Yellow"</formula>
    </cfRule>
    <cfRule type="cellIs" dxfId="131" priority="4" stopIfTrue="1" operator="equal">
      <formula>"Blue"</formula>
    </cfRule>
    <cfRule type="cellIs" dxfId="130" priority="5" operator="equal">
      <formula>"Green Trending Yellow"</formula>
    </cfRule>
    <cfRule type="cellIs" dxfId="129" priority="6" operator="equal">
      <formula>"Yellow Trending Green"</formula>
    </cfRule>
    <cfRule type="cellIs" dxfId="128" priority="7" operator="equal">
      <formula>"Red Trending Green"</formula>
    </cfRule>
    <cfRule type="cellIs" dxfId="127" priority="8" operator="equal">
      <formula>"Green Trending Red"</formula>
    </cfRule>
    <cfRule type="cellIs" dxfId="126" priority="9" operator="equal">
      <formula>"Yellow Trending Red"</formula>
    </cfRule>
    <cfRule type="cellIs" dxfId="125" priority="10" operator="equal">
      <formula>"Red Trending Yellow"</formula>
    </cfRule>
    <cfRule type="cellIs" dxfId="124" priority="11" stopIfTrue="1" operator="equal">
      <formula>"White"</formula>
    </cfRule>
  </conditionalFormatting>
  <dataValidations count="3">
    <dataValidation type="list" allowBlank="1" showInputMessage="1" showErrorMessage="1" sqref="C5" xr:uid="{9F07CBAF-E5CD-4227-B884-2DB0588C8AE0}"/>
    <dataValidation type="list" allowBlank="1" showInputMessage="1" showErrorMessage="1" sqref="C6" xr:uid="{DA40DF54-3919-4AC9-866F-ABFEC92DFDBE}">
      <formula1>"SIT 1, SIT 2, UAT 1, UAT 2, SIT/UAT, Sprint"</formula1>
    </dataValidation>
    <dataValidation type="list" allowBlank="1" showInputMessage="1" showErrorMessage="1" sqref="C7:D7" xr:uid="{0F232BA9-9F53-4F35-938D-2DD9D3019767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19041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BD3F4-8C1E-4301-AC05-BDF054C0AC89}">
  <sheetPr codeName="Sheet26"/>
  <dimension ref="A1:M230"/>
  <sheetViews>
    <sheetView topLeftCell="A96" workbookViewId="0">
      <selection activeCell="D66" sqref="D66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66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4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4</v>
      </c>
      <c r="D35" s="68">
        <v>0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4</v>
      </c>
      <c r="D36" s="68">
        <v>0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40</v>
      </c>
      <c r="D46" s="68">
        <v>0</v>
      </c>
      <c r="E46" s="60">
        <f>IFERROR(D46/(D46+C46),0)</f>
        <v>0</v>
      </c>
      <c r="F46" s="64"/>
      <c r="G46" s="52"/>
      <c r="H46" s="53"/>
    </row>
    <row r="47" spans="1:8">
      <c r="A47" s="177" t="s">
        <v>216</v>
      </c>
      <c r="B47" s="178"/>
      <c r="C47" s="91">
        <v>6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6</v>
      </c>
      <c r="D48" s="68">
        <v>0</v>
      </c>
      <c r="E48" s="60">
        <f>IFERROR(D48/(D48+C48),0)</f>
        <v>0</v>
      </c>
      <c r="F48" s="65">
        <f>IFERROR((C48+D48)/(C46+D46),0)</f>
        <v>0.15</v>
      </c>
      <c r="G48" s="52"/>
      <c r="H48" s="53"/>
    </row>
    <row r="49" spans="1:8">
      <c r="A49" s="113" t="s">
        <v>99</v>
      </c>
      <c r="B49" s="114"/>
      <c r="C49" s="68">
        <v>6</v>
      </c>
      <c r="D49" s="68">
        <v>0</v>
      </c>
      <c r="E49" s="65">
        <f>IFERROR(D49/D48,0)</f>
        <v>0</v>
      </c>
      <c r="F49" s="65">
        <f>IFERROR((C49+D49)/(C48+D48),0)</f>
        <v>1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34</v>
      </c>
      <c r="D53" s="68">
        <v>0</v>
      </c>
      <c r="E53" s="65">
        <f>IFERROR(D53/D46,0)</f>
        <v>0</v>
      </c>
      <c r="F53" s="65">
        <f>IFERROR((C53+D53)/(C46+D46),0)</f>
        <v>0.85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0.15</v>
      </c>
      <c r="D55" s="66">
        <f>IFERROR(D49/D46,0)</f>
        <v>0</v>
      </c>
      <c r="E55" s="66">
        <f>IFERROR(D49/(C46+D46),0)</f>
        <v>0</v>
      </c>
      <c r="F55" s="66">
        <f>IFERROR((C49+D49)/(C46+D46),0)</f>
        <v>0.15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80</v>
      </c>
      <c r="D60" s="68">
        <v>0</v>
      </c>
      <c r="E60" s="60">
        <f>IFERROR(D60/(D60+C60),0)</f>
        <v>0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46</v>
      </c>
      <c r="D61" s="68">
        <v>0</v>
      </c>
      <c r="E61" s="60">
        <f>IFERROR(D61/(D61+C61),0)</f>
        <v>0</v>
      </c>
      <c r="F61" s="65">
        <f>IFERROR((C61+D61)/(C60+D60),0)</f>
        <v>0.57499999999999996</v>
      </c>
      <c r="G61" s="52"/>
      <c r="H61" s="53"/>
    </row>
    <row r="62" spans="1:8">
      <c r="A62" s="113" t="s">
        <v>99</v>
      </c>
      <c r="B62" s="114"/>
      <c r="C62" s="68">
        <v>46</v>
      </c>
      <c r="D62" s="68">
        <v>0</v>
      </c>
      <c r="E62" s="65">
        <f>IFERROR(D62/D61,0)</f>
        <v>0</v>
      </c>
      <c r="F62" s="65">
        <f>IFERROR((C62+D62)/(C61+D61),0)</f>
        <v>1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34</v>
      </c>
      <c r="D66" s="68">
        <v>0</v>
      </c>
      <c r="E66" s="65">
        <f>IFERROR(D66/D60,0)</f>
        <v>0</v>
      </c>
      <c r="F66" s="65">
        <f>IFERROR((C66+D66)/(C60+D60),0)</f>
        <v>0.42499999999999999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0.57499999999999996</v>
      </c>
      <c r="D68" s="66">
        <f>IFERROR(D62/D60,0)</f>
        <v>0</v>
      </c>
      <c r="E68" s="66">
        <f>IFERROR(D62/(C60+D60),0)</f>
        <v>0</v>
      </c>
      <c r="F68" s="66">
        <f>IFERROR((C62+D62)/(C60+D60),0)</f>
        <v>0.57499999999999996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0</v>
      </c>
      <c r="E114" s="70">
        <v>0</v>
      </c>
      <c r="F114" s="72">
        <f t="shared" si="0"/>
        <v>0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0</v>
      </c>
      <c r="D115" s="72">
        <f t="shared" si="1"/>
        <v>0</v>
      </c>
      <c r="E115" s="72">
        <f t="shared" si="1"/>
        <v>0</v>
      </c>
      <c r="F115" s="72">
        <f t="shared" si="0"/>
        <v>0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123" priority="1" stopIfTrue="1" operator="equal">
      <formula>"Green"</formula>
    </cfRule>
    <cfRule type="cellIs" dxfId="122" priority="2" stopIfTrue="1" operator="equal">
      <formula>"Red"</formula>
    </cfRule>
    <cfRule type="cellIs" dxfId="121" priority="3" stopIfTrue="1" operator="equal">
      <formula>"Yellow"</formula>
    </cfRule>
    <cfRule type="cellIs" dxfId="120" priority="4" stopIfTrue="1" operator="equal">
      <formula>"Blue"</formula>
    </cfRule>
    <cfRule type="cellIs" dxfId="119" priority="5" operator="equal">
      <formula>"Green Trending Yellow"</formula>
    </cfRule>
    <cfRule type="cellIs" dxfId="118" priority="6" operator="equal">
      <formula>"Yellow Trending Green"</formula>
    </cfRule>
    <cfRule type="cellIs" dxfId="117" priority="7" operator="equal">
      <formula>"Red Trending Green"</formula>
    </cfRule>
    <cfRule type="cellIs" dxfId="116" priority="8" operator="equal">
      <formula>"Green Trending Red"</formula>
    </cfRule>
    <cfRule type="cellIs" dxfId="115" priority="9" operator="equal">
      <formula>"Yellow Trending Red"</formula>
    </cfRule>
    <cfRule type="cellIs" dxfId="114" priority="10" operator="equal">
      <formula>"Red Trending Yellow"</formula>
    </cfRule>
    <cfRule type="cellIs" dxfId="113" priority="11" stopIfTrue="1" operator="equal">
      <formula>"White"</formula>
    </cfRule>
  </conditionalFormatting>
  <dataValidations count="3">
    <dataValidation type="list" allowBlank="1" showInputMessage="1" showErrorMessage="1" sqref="C5" xr:uid="{401A12D7-1FEB-48BA-997C-AFD3AAB39C29}"/>
    <dataValidation type="list" allowBlank="1" showInputMessage="1" showErrorMessage="1" sqref="C6" xr:uid="{A5EB6520-27EE-40E6-A9D7-90CB5DEC0132}">
      <formula1>"SIT 1, SIT 2, UAT 1, UAT 2, SIT/UAT, Sprint"</formula1>
    </dataValidation>
    <dataValidation type="list" allowBlank="1" showInputMessage="1" showErrorMessage="1" sqref="C7:D7" xr:uid="{C6C7479F-A5D9-4383-A423-CA0FBE94D19B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18017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61FC7-F1C2-4EFB-9C42-804B58FAD3AD}">
  <sheetPr codeName="Sheet22"/>
  <dimension ref="A1:M230"/>
  <sheetViews>
    <sheetView topLeftCell="A94" workbookViewId="0">
      <selection activeCell="D64" sqref="D64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68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 t="s">
        <v>229</v>
      </c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2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2</v>
      </c>
      <c r="D35" s="68">
        <v>0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2</v>
      </c>
      <c r="D36" s="68">
        <v>0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25</v>
      </c>
      <c r="D46" s="68">
        <v>0</v>
      </c>
      <c r="E46" s="60">
        <f>IFERROR(D46/(D46+C46),0)</f>
        <v>0</v>
      </c>
      <c r="F46" s="64"/>
      <c r="G46" s="52"/>
      <c r="H46" s="53"/>
    </row>
    <row r="47" spans="1:8">
      <c r="A47" s="177" t="s">
        <v>216</v>
      </c>
      <c r="B47" s="178"/>
      <c r="C47" s="91">
        <v>2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2</v>
      </c>
      <c r="D48" s="68">
        <v>0</v>
      </c>
      <c r="E48" s="60">
        <f>IFERROR(D48/(D48+C48),0)</f>
        <v>0</v>
      </c>
      <c r="F48" s="65">
        <f>IFERROR((C48+D48)/(C46+D46),0)</f>
        <v>0.08</v>
      </c>
      <c r="G48" s="52"/>
      <c r="H48" s="53"/>
    </row>
    <row r="49" spans="1:8">
      <c r="A49" s="113" t="s">
        <v>99</v>
      </c>
      <c r="B49" s="114"/>
      <c r="C49" s="68">
        <v>2</v>
      </c>
      <c r="D49" s="68">
        <v>0</v>
      </c>
      <c r="E49" s="65">
        <f>IFERROR(D49/D48,0)</f>
        <v>0</v>
      </c>
      <c r="F49" s="65">
        <f>IFERROR((C49+D49)/(C48+D48),0)</f>
        <v>1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23</v>
      </c>
      <c r="D53" s="68">
        <v>0</v>
      </c>
      <c r="E53" s="65">
        <f>IFERROR(D53/D46,0)</f>
        <v>0</v>
      </c>
      <c r="F53" s="65">
        <f>IFERROR((C53+D53)/(C46+D46),0)</f>
        <v>0.92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0.08</v>
      </c>
      <c r="D55" s="66">
        <f>IFERROR(D49/D46,0)</f>
        <v>0</v>
      </c>
      <c r="E55" s="66">
        <f>IFERROR(D49/(C46+D46),0)</f>
        <v>0</v>
      </c>
      <c r="F55" s="66">
        <f>IFERROR((C49+D49)/(C46+D46),0)</f>
        <v>0.08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25</v>
      </c>
      <c r="D60" s="68">
        <v>0</v>
      </c>
      <c r="E60" s="60">
        <f>IFERROR(D60/(D60+C60),0)</f>
        <v>0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2</v>
      </c>
      <c r="D61" s="68">
        <v>0</v>
      </c>
      <c r="E61" s="60">
        <f>IFERROR(D61/(D61+C61),0)</f>
        <v>0</v>
      </c>
      <c r="F61" s="65">
        <f>IFERROR((C61+D61)/(C60+D60),0)</f>
        <v>0.08</v>
      </c>
      <c r="G61" s="52"/>
      <c r="H61" s="53"/>
    </row>
    <row r="62" spans="1:8">
      <c r="A62" s="113" t="s">
        <v>99</v>
      </c>
      <c r="B62" s="114"/>
      <c r="C62" s="68">
        <v>2</v>
      </c>
      <c r="D62" s="68">
        <v>0</v>
      </c>
      <c r="E62" s="65">
        <f>IFERROR(D62/D61,0)</f>
        <v>0</v>
      </c>
      <c r="F62" s="65">
        <f>IFERROR((C62+D62)/(C61+D61),0)</f>
        <v>1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23</v>
      </c>
      <c r="D66" s="68">
        <v>0</v>
      </c>
      <c r="E66" s="65">
        <f>IFERROR(D66/D60,0)</f>
        <v>0</v>
      </c>
      <c r="F66" s="65">
        <f>IFERROR((C66+D66)/(C60+D60),0)</f>
        <v>0.92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0.08</v>
      </c>
      <c r="D68" s="66">
        <f>IFERROR(D62/D60,0)</f>
        <v>0</v>
      </c>
      <c r="E68" s="66">
        <f>IFERROR(D62/(C60+D60),0)</f>
        <v>0</v>
      </c>
      <c r="F68" s="66">
        <f>IFERROR((C62+D62)/(C60+D60),0)</f>
        <v>0.08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1</v>
      </c>
      <c r="E114" s="70">
        <v>0</v>
      </c>
      <c r="F114" s="72">
        <f t="shared" si="0"/>
        <v>1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0</v>
      </c>
      <c r="D115" s="72">
        <f t="shared" si="1"/>
        <v>1</v>
      </c>
      <c r="E115" s="72">
        <f t="shared" si="1"/>
        <v>0</v>
      </c>
      <c r="F115" s="72">
        <f t="shared" si="0"/>
        <v>1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112" priority="1" stopIfTrue="1" operator="equal">
      <formula>"Green"</formula>
    </cfRule>
    <cfRule type="cellIs" dxfId="111" priority="2" stopIfTrue="1" operator="equal">
      <formula>"Red"</formula>
    </cfRule>
    <cfRule type="cellIs" dxfId="110" priority="3" stopIfTrue="1" operator="equal">
      <formula>"Yellow"</formula>
    </cfRule>
    <cfRule type="cellIs" dxfId="109" priority="4" stopIfTrue="1" operator="equal">
      <formula>"Blue"</formula>
    </cfRule>
    <cfRule type="cellIs" dxfId="108" priority="5" operator="equal">
      <formula>"Green Trending Yellow"</formula>
    </cfRule>
    <cfRule type="cellIs" dxfId="107" priority="6" operator="equal">
      <formula>"Yellow Trending Green"</formula>
    </cfRule>
    <cfRule type="cellIs" dxfId="106" priority="7" operator="equal">
      <formula>"Red Trending Green"</formula>
    </cfRule>
    <cfRule type="cellIs" dxfId="105" priority="8" operator="equal">
      <formula>"Green Trending Red"</formula>
    </cfRule>
    <cfRule type="cellIs" dxfId="104" priority="9" operator="equal">
      <formula>"Yellow Trending Red"</formula>
    </cfRule>
    <cfRule type="cellIs" dxfId="103" priority="10" operator="equal">
      <formula>"Red Trending Yellow"</formula>
    </cfRule>
    <cfRule type="cellIs" dxfId="102" priority="11" stopIfTrue="1" operator="equal">
      <formula>"White"</formula>
    </cfRule>
  </conditionalFormatting>
  <dataValidations count="3">
    <dataValidation type="list" allowBlank="1" showInputMessage="1" showErrorMessage="1" sqref="C5" xr:uid="{8B76FF4B-A39D-4194-8AD3-EC4D34595DCF}"/>
    <dataValidation type="list" allowBlank="1" showInputMessage="1" showErrorMessage="1" sqref="C6" xr:uid="{2D7DB731-1955-4A89-BFD7-D596A8F49FB5}">
      <formula1>"SIT 1, SIT 2, UAT 1, UAT 2, SIT/UAT, Sprint"</formula1>
    </dataValidation>
    <dataValidation type="list" allowBlank="1" showInputMessage="1" showErrorMessage="1" sqref="C7:D7" xr:uid="{6C6D5D1F-0829-4CCC-82C4-F174210956A0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16993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75226-AC71-44F2-BFC6-EF6B0493EC42}">
  <sheetPr codeName="Sheet20"/>
  <dimension ref="A1:M230"/>
  <sheetViews>
    <sheetView topLeftCell="A101" workbookViewId="0">
      <selection activeCell="D115" sqref="D115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70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4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0</v>
      </c>
      <c r="D35" s="68">
        <v>5</v>
      </c>
      <c r="E35" s="60">
        <f>IFERROR((C35+D35)/C33,0)</f>
        <v>1.25</v>
      </c>
      <c r="F35" s="182"/>
      <c r="G35" s="183"/>
      <c r="H35" s="184"/>
    </row>
    <row r="36" spans="1:8">
      <c r="A36" s="113" t="s">
        <v>99</v>
      </c>
      <c r="B36" s="114"/>
      <c r="C36" s="68">
        <v>0</v>
      </c>
      <c r="D36" s="68">
        <v>2</v>
      </c>
      <c r="E36" s="60">
        <f>IFERROR((C36+D36)/(C35+D35),0)</f>
        <v>0.4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3</v>
      </c>
      <c r="E37" s="60">
        <f>IFERROR((C37+D37)/(C35+D35),0)</f>
        <v>0.6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48</v>
      </c>
      <c r="D46" s="68">
        <v>80</v>
      </c>
      <c r="E46" s="60">
        <f>IFERROR(D46/(D46+C46),0)</f>
        <v>0.625</v>
      </c>
      <c r="F46" s="64"/>
      <c r="G46" s="52"/>
      <c r="H46" s="53"/>
    </row>
    <row r="47" spans="1:8">
      <c r="A47" s="177" t="s">
        <v>216</v>
      </c>
      <c r="B47" s="178"/>
      <c r="C47" s="91">
        <v>0</v>
      </c>
      <c r="D47" s="91">
        <v>12</v>
      </c>
      <c r="E47" s="92">
        <f>IFERROR(D47/(D47+C47),0)</f>
        <v>1</v>
      </c>
      <c r="F47" s="64"/>
      <c r="G47" s="52"/>
      <c r="H47" s="53"/>
    </row>
    <row r="48" spans="1:8">
      <c r="A48" s="115" t="s">
        <v>98</v>
      </c>
      <c r="B48" s="116"/>
      <c r="C48" s="68">
        <v>0</v>
      </c>
      <c r="D48" s="68">
        <v>13</v>
      </c>
      <c r="E48" s="60">
        <f>IFERROR(D48/(D48+C48),0)</f>
        <v>1</v>
      </c>
      <c r="F48" s="65">
        <f>IFERROR((C48+D48)/(C46+D46),0)</f>
        <v>0.1015625</v>
      </c>
      <c r="G48" s="52"/>
      <c r="H48" s="53"/>
    </row>
    <row r="49" spans="1:8">
      <c r="A49" s="113" t="s">
        <v>99</v>
      </c>
      <c r="B49" s="114"/>
      <c r="C49" s="68">
        <v>0</v>
      </c>
      <c r="D49" s="68">
        <v>9</v>
      </c>
      <c r="E49" s="65">
        <f>IFERROR(D49/D48,0)</f>
        <v>0.69230769230769229</v>
      </c>
      <c r="F49" s="65">
        <f>IFERROR((C49+D49)/(C48+D48),0)</f>
        <v>0.69230769230769229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4</v>
      </c>
      <c r="E50" s="65">
        <f>IFERROR(D50/D48,0)</f>
        <v>0.30769230769230771</v>
      </c>
      <c r="F50" s="65">
        <f>IFERROR((C50+D50)/(C48+D48),0)</f>
        <v>0.30769230769230771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48</v>
      </c>
      <c r="D53" s="68">
        <v>67</v>
      </c>
      <c r="E53" s="65">
        <f>IFERROR(D53/D46,0)</f>
        <v>0.83750000000000002</v>
      </c>
      <c r="F53" s="65">
        <f>IFERROR((C53+D53)/(C46+D46),0)</f>
        <v>0.8984375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</v>
      </c>
      <c r="D55" s="66">
        <f>IFERROR(D49/D46,0)</f>
        <v>0.1125</v>
      </c>
      <c r="E55" s="66">
        <f>IFERROR(D49/(C46+D46),0)</f>
        <v>7.03125E-2</v>
      </c>
      <c r="F55" s="66">
        <f>IFERROR((C49+D49)/(C46+D46),0)</f>
        <v>7.03125E-2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72</v>
      </c>
      <c r="D60" s="68">
        <v>272</v>
      </c>
      <c r="E60" s="60">
        <f>IFERROR(D60/(D60+C60),0)</f>
        <v>0.79069767441860461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24</v>
      </c>
      <c r="D61" s="68">
        <v>205</v>
      </c>
      <c r="E61" s="60">
        <f>IFERROR(D61/(D61+C61),0)</f>
        <v>0.89519650655021832</v>
      </c>
      <c r="F61" s="65">
        <f>IFERROR((C61+D61)/(C60+D60),0)</f>
        <v>0.66569767441860461</v>
      </c>
      <c r="G61" s="52"/>
      <c r="H61" s="53"/>
    </row>
    <row r="62" spans="1:8">
      <c r="A62" s="113" t="s">
        <v>99</v>
      </c>
      <c r="B62" s="114"/>
      <c r="C62" s="68">
        <v>22</v>
      </c>
      <c r="D62" s="68">
        <v>200</v>
      </c>
      <c r="E62" s="65">
        <f>IFERROR(D62/D61,0)</f>
        <v>0.97560975609756095</v>
      </c>
      <c r="F62" s="65">
        <f>IFERROR((C62+D62)/(C61+D61),0)</f>
        <v>0.96943231441048039</v>
      </c>
      <c r="G62" s="52"/>
      <c r="H62" s="53"/>
    </row>
    <row r="63" spans="1:8">
      <c r="A63" s="113" t="s">
        <v>100</v>
      </c>
      <c r="B63" s="114"/>
      <c r="C63" s="68">
        <v>2</v>
      </c>
      <c r="D63" s="68">
        <v>5</v>
      </c>
      <c r="E63" s="65">
        <f>IFERROR(D63/D61,0)</f>
        <v>2.4390243902439025E-2</v>
      </c>
      <c r="F63" s="65">
        <f>IFERROR((C63+D63)/(C61+D61),0)</f>
        <v>3.0567685589519649E-2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48</v>
      </c>
      <c r="D66" s="68">
        <v>67</v>
      </c>
      <c r="E66" s="65">
        <f>IFERROR(D66/D60,0)</f>
        <v>0.24632352941176472</v>
      </c>
      <c r="F66" s="65">
        <f>IFERROR((C66+D66)/(C60+D60),0)</f>
        <v>0.33430232558139533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0.30555555555555558</v>
      </c>
      <c r="D68" s="66">
        <f>IFERROR(D62/D60,0)</f>
        <v>0.73529411764705888</v>
      </c>
      <c r="E68" s="66">
        <f>IFERROR(D62/(C60+D60),0)</f>
        <v>0.58139534883720934</v>
      </c>
      <c r="F68" s="66">
        <f>IFERROR((C62+D62)/(C60+D60),0)</f>
        <v>0.64534883720930236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3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1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6</v>
      </c>
      <c r="E107" s="70">
        <v>0</v>
      </c>
      <c r="F107" s="72">
        <f t="shared" ref="F107:F115" si="0">SUM(B107:E107)</f>
        <v>6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2</v>
      </c>
      <c r="E109" s="70">
        <v>0</v>
      </c>
      <c r="F109" s="72">
        <f t="shared" si="0"/>
        <v>2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13</v>
      </c>
      <c r="E114" s="70">
        <v>0</v>
      </c>
      <c r="F114" s="72">
        <f t="shared" si="0"/>
        <v>13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0</v>
      </c>
      <c r="D115" s="72">
        <f t="shared" si="1"/>
        <v>21</v>
      </c>
      <c r="E115" s="72">
        <f t="shared" si="1"/>
        <v>0</v>
      </c>
      <c r="F115" s="72">
        <f t="shared" si="0"/>
        <v>21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101" priority="1" stopIfTrue="1" operator="equal">
      <formula>"Green"</formula>
    </cfRule>
    <cfRule type="cellIs" dxfId="100" priority="2" stopIfTrue="1" operator="equal">
      <formula>"Red"</formula>
    </cfRule>
    <cfRule type="cellIs" dxfId="99" priority="3" stopIfTrue="1" operator="equal">
      <formula>"Yellow"</formula>
    </cfRule>
    <cfRule type="cellIs" dxfId="98" priority="4" stopIfTrue="1" operator="equal">
      <formula>"Blue"</formula>
    </cfRule>
    <cfRule type="cellIs" dxfId="97" priority="5" operator="equal">
      <formula>"Green Trending Yellow"</formula>
    </cfRule>
    <cfRule type="cellIs" dxfId="96" priority="6" operator="equal">
      <formula>"Yellow Trending Green"</formula>
    </cfRule>
    <cfRule type="cellIs" dxfId="95" priority="7" operator="equal">
      <formula>"Red Trending Green"</formula>
    </cfRule>
    <cfRule type="cellIs" dxfId="94" priority="8" operator="equal">
      <formula>"Green Trending Red"</formula>
    </cfRule>
    <cfRule type="cellIs" dxfId="93" priority="9" operator="equal">
      <formula>"Yellow Trending Red"</formula>
    </cfRule>
    <cfRule type="cellIs" dxfId="92" priority="10" operator="equal">
      <formula>"Red Trending Yellow"</formula>
    </cfRule>
    <cfRule type="cellIs" dxfId="91" priority="11" stopIfTrue="1" operator="equal">
      <formula>"White"</formula>
    </cfRule>
  </conditionalFormatting>
  <dataValidations count="3">
    <dataValidation type="list" allowBlank="1" showInputMessage="1" showErrorMessage="1" sqref="C5" xr:uid="{D7EF3D35-DCF6-412D-B5B5-7B6A7AE17002}"/>
    <dataValidation type="list" allowBlank="1" showInputMessage="1" showErrorMessage="1" sqref="C6" xr:uid="{8E93E638-C525-4A60-838D-F7078BE7F9D6}">
      <formula1>"SIT 1, SIT 2, UAT 1, UAT 2, SIT/UAT, Sprint"</formula1>
    </dataValidation>
    <dataValidation type="list" allowBlank="1" showInputMessage="1" showErrorMessage="1" sqref="C7:D7" xr:uid="{57565C48-76E7-415A-8F3B-58047E77ABD6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15969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AD05F-1468-4E37-8B3B-4B785E3FBFD8}">
  <sheetPr codeName="Sheet18"/>
  <dimension ref="A1:M230"/>
  <sheetViews>
    <sheetView workbookViewId="0">
      <selection activeCell="I14" sqref="I14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72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 t="s">
        <v>230</v>
      </c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5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5</v>
      </c>
      <c r="D35" s="68">
        <v>0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5</v>
      </c>
      <c r="D36" s="68">
        <v>0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120</v>
      </c>
      <c r="D46" s="68">
        <v>0</v>
      </c>
      <c r="E46" s="60">
        <f>IFERROR(D46/(D46+C46),0)</f>
        <v>0</v>
      </c>
      <c r="F46" s="64"/>
      <c r="G46" s="52"/>
      <c r="H46" s="53"/>
    </row>
    <row r="47" spans="1:8">
      <c r="A47" s="177" t="s">
        <v>216</v>
      </c>
      <c r="B47" s="178"/>
      <c r="C47" s="91">
        <v>10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10</v>
      </c>
      <c r="D48" s="68">
        <v>0</v>
      </c>
      <c r="E48" s="60">
        <f>IFERROR(D48/(D48+C48),0)</f>
        <v>0</v>
      </c>
      <c r="F48" s="65">
        <f>IFERROR((C48+D48)/(C46+D46),0)</f>
        <v>8.3333333333333329E-2</v>
      </c>
      <c r="G48" s="52"/>
      <c r="H48" s="53"/>
    </row>
    <row r="49" spans="1:8">
      <c r="A49" s="113" t="s">
        <v>99</v>
      </c>
      <c r="B49" s="114"/>
      <c r="C49" s="68">
        <v>10</v>
      </c>
      <c r="D49" s="68">
        <v>0</v>
      </c>
      <c r="E49" s="65">
        <f>IFERROR(D49/D48,0)</f>
        <v>0</v>
      </c>
      <c r="F49" s="65">
        <f>IFERROR((C49+D49)/(C48+D48),0)</f>
        <v>1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0</v>
      </c>
      <c r="D53" s="68">
        <v>0</v>
      </c>
      <c r="E53" s="65">
        <f>IFERROR(D53/D46,0)</f>
        <v>0</v>
      </c>
      <c r="F53" s="65">
        <f>IFERROR((C53+D53)/(C46+D46),0)</f>
        <v>0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8.3333333333333329E-2</v>
      </c>
      <c r="D55" s="66">
        <f>IFERROR(D49/D46,0)</f>
        <v>0</v>
      </c>
      <c r="E55" s="66">
        <f>IFERROR(D49/(C46+D46),0)</f>
        <v>0</v>
      </c>
      <c r="F55" s="66">
        <f>IFERROR((C49+D49)/(C46+D46),0)</f>
        <v>8.3333333333333329E-2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120</v>
      </c>
      <c r="D60" s="68">
        <v>0</v>
      </c>
      <c r="E60" s="60">
        <f>IFERROR(D60/(D60+C60),0)</f>
        <v>0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10</v>
      </c>
      <c r="D61" s="68">
        <v>0</v>
      </c>
      <c r="E61" s="60">
        <f>IFERROR(D61/(D61+C61),0)</f>
        <v>0</v>
      </c>
      <c r="F61" s="65">
        <f>IFERROR((C61+D61)/(C60+D60),0)</f>
        <v>8.3333333333333329E-2</v>
      </c>
      <c r="G61" s="52"/>
      <c r="H61" s="53"/>
    </row>
    <row r="62" spans="1:8">
      <c r="A62" s="113" t="s">
        <v>99</v>
      </c>
      <c r="B62" s="114"/>
      <c r="C62" s="68">
        <v>10</v>
      </c>
      <c r="D62" s="68">
        <v>0</v>
      </c>
      <c r="E62" s="65">
        <f>IFERROR(D62/D61,0)</f>
        <v>0</v>
      </c>
      <c r="F62" s="65">
        <f>IFERROR((C62+D62)/(C61+D61),0)</f>
        <v>1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0</v>
      </c>
      <c r="D66" s="68">
        <v>0</v>
      </c>
      <c r="E66" s="65">
        <f>IFERROR(D66/D60,0)</f>
        <v>0</v>
      </c>
      <c r="F66" s="65">
        <f>IFERROR((C66+D66)/(C60+D60),0)</f>
        <v>0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8.3333333333333329E-2</v>
      </c>
      <c r="D68" s="66">
        <f>IFERROR(D62/D60,0)</f>
        <v>0</v>
      </c>
      <c r="E68" s="66">
        <f>IFERROR(D62/(C60+D60),0)</f>
        <v>0</v>
      </c>
      <c r="F68" s="66">
        <f>IFERROR((C62+D62)/(C60+D60),0)</f>
        <v>8.3333333333333329E-2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0</v>
      </c>
      <c r="E114" s="70">
        <v>0</v>
      </c>
      <c r="F114" s="72">
        <f t="shared" si="0"/>
        <v>0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0</v>
      </c>
      <c r="D115" s="72">
        <f t="shared" si="1"/>
        <v>0</v>
      </c>
      <c r="E115" s="72">
        <f t="shared" si="1"/>
        <v>0</v>
      </c>
      <c r="F115" s="72">
        <f t="shared" si="0"/>
        <v>0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</mergeCells>
  <conditionalFormatting sqref="C7">
    <cfRule type="cellIs" dxfId="90" priority="1" stopIfTrue="1" operator="equal">
      <formula>"Green"</formula>
    </cfRule>
    <cfRule type="cellIs" dxfId="89" priority="2" stopIfTrue="1" operator="equal">
      <formula>"Red"</formula>
    </cfRule>
    <cfRule type="cellIs" dxfId="88" priority="3" stopIfTrue="1" operator="equal">
      <formula>"Yellow"</formula>
    </cfRule>
    <cfRule type="cellIs" dxfId="87" priority="4" stopIfTrue="1" operator="equal">
      <formula>"Blue"</formula>
    </cfRule>
    <cfRule type="cellIs" dxfId="86" priority="5" operator="equal">
      <formula>"Green Trending Yellow"</formula>
    </cfRule>
    <cfRule type="cellIs" dxfId="85" priority="6" operator="equal">
      <formula>"Yellow Trending Green"</formula>
    </cfRule>
    <cfRule type="cellIs" dxfId="84" priority="7" operator="equal">
      <formula>"Red Trending Green"</formula>
    </cfRule>
    <cfRule type="cellIs" dxfId="83" priority="8" operator="equal">
      <formula>"Green Trending Red"</formula>
    </cfRule>
    <cfRule type="cellIs" dxfId="82" priority="9" operator="equal">
      <formula>"Yellow Trending Red"</formula>
    </cfRule>
    <cfRule type="cellIs" dxfId="81" priority="10" operator="equal">
      <formula>"Red Trending Yellow"</formula>
    </cfRule>
    <cfRule type="cellIs" dxfId="80" priority="11" stopIfTrue="1" operator="equal">
      <formula>"White"</formula>
    </cfRule>
  </conditionalFormatting>
  <dataValidations count="3">
    <dataValidation type="list" allowBlank="1" showInputMessage="1" showErrorMessage="1" sqref="C5" xr:uid="{75199091-61E5-43DD-941C-7C91DA3B246A}"/>
    <dataValidation type="list" allowBlank="1" showInputMessage="1" showErrorMessage="1" sqref="C6" xr:uid="{38D57344-6F2C-4639-8E29-7714CED39EFC}">
      <formula1>"SIT 1, SIT 2, UAT 1, UAT 2, SIT/UAT, Sprint"</formula1>
    </dataValidation>
    <dataValidation type="list" allowBlank="1" showInputMessage="1" showErrorMessage="1" sqref="C7:D7" xr:uid="{E5DF3471-B7F4-4CD2-BE5B-E280044B544F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14945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3F583-16E6-42FB-961C-0705E71909A3}">
  <sheetPr codeName="Sheet57"/>
  <dimension ref="A1:M230"/>
  <sheetViews>
    <sheetView workbookViewId="0">
      <selection activeCell="C114" sqref="C114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35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231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3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3</v>
      </c>
      <c r="D35" s="68">
        <v>0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0</v>
      </c>
      <c r="D36" s="68">
        <v>0</v>
      </c>
      <c r="E36" s="60">
        <f>IFERROR((C36+D36)/(C35+D35),0)</f>
        <v>0</v>
      </c>
      <c r="F36" s="182"/>
      <c r="G36" s="183"/>
      <c r="H36" s="184"/>
    </row>
    <row r="37" spans="1:8">
      <c r="A37" s="113" t="s">
        <v>100</v>
      </c>
      <c r="B37" s="114"/>
      <c r="C37" s="68">
        <v>1</v>
      </c>
      <c r="D37" s="68">
        <v>0</v>
      </c>
      <c r="E37" s="60">
        <f>IFERROR((C37+D37)/(C35+D35),0)</f>
        <v>0.33333333333333331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2</v>
      </c>
      <c r="D39" s="68">
        <v>0</v>
      </c>
      <c r="E39" s="60">
        <f>IFERROR((D39+C39)/C33,0)</f>
        <v>0.66666666666666663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54</v>
      </c>
      <c r="D46" s="68">
        <v>18</v>
      </c>
      <c r="E46" s="60">
        <f>IFERROR(D46/(D46+C46),0)</f>
        <v>0.25</v>
      </c>
      <c r="F46" s="64"/>
      <c r="G46" s="52"/>
      <c r="H46" s="53"/>
    </row>
    <row r="47" spans="1:8">
      <c r="A47" s="177" t="s">
        <v>216</v>
      </c>
      <c r="B47" s="178"/>
      <c r="C47" s="91">
        <v>11</v>
      </c>
      <c r="D47" s="91">
        <v>18</v>
      </c>
      <c r="E47" s="92">
        <f>IFERROR(D47/(D47+C47),0)</f>
        <v>0.62068965517241381</v>
      </c>
      <c r="F47" s="64"/>
      <c r="G47" s="52"/>
      <c r="H47" s="53"/>
    </row>
    <row r="48" spans="1:8">
      <c r="A48" s="115" t="s">
        <v>98</v>
      </c>
      <c r="B48" s="116"/>
      <c r="C48" s="68">
        <v>6</v>
      </c>
      <c r="D48" s="68">
        <v>18</v>
      </c>
      <c r="E48" s="60">
        <f>IFERROR(D48/(D48+C48),0)</f>
        <v>0.75</v>
      </c>
      <c r="F48" s="65">
        <f>IFERROR((C48+D48)/(C46+D46),0)</f>
        <v>0.33333333333333331</v>
      </c>
      <c r="G48" s="52"/>
      <c r="H48" s="53"/>
    </row>
    <row r="49" spans="1:8">
      <c r="A49" s="113" t="s">
        <v>99</v>
      </c>
      <c r="B49" s="114"/>
      <c r="C49" s="68">
        <v>2</v>
      </c>
      <c r="D49" s="68">
        <v>18</v>
      </c>
      <c r="E49" s="65">
        <f>IFERROR(D49/D48,0)</f>
        <v>1</v>
      </c>
      <c r="F49" s="65">
        <f>IFERROR((C49+D49)/(C48+D48),0)</f>
        <v>0.83333333333333337</v>
      </c>
      <c r="G49" s="52"/>
      <c r="H49" s="53"/>
    </row>
    <row r="50" spans="1:8">
      <c r="A50" s="113" t="s">
        <v>100</v>
      </c>
      <c r="B50" s="114"/>
      <c r="C50" s="68">
        <v>2</v>
      </c>
      <c r="D50" s="68">
        <v>0</v>
      </c>
      <c r="E50" s="65">
        <f>IFERROR(D50/D48,0)</f>
        <v>0</v>
      </c>
      <c r="F50" s="65">
        <f>IFERROR((C50+D50)/(C48+D48),0)</f>
        <v>8.3333333333333329E-2</v>
      </c>
      <c r="G50" s="52"/>
      <c r="H50" s="53"/>
    </row>
    <row r="51" spans="1:8">
      <c r="A51" s="113" t="s">
        <v>102</v>
      </c>
      <c r="B51" s="114"/>
      <c r="C51" s="68">
        <v>2</v>
      </c>
      <c r="D51" s="68">
        <v>0</v>
      </c>
      <c r="E51" s="65">
        <f>IFERROR(D51/D46,0)</f>
        <v>0</v>
      </c>
      <c r="F51" s="65">
        <f>IFERROR((C51+D51)/(C46+D46),0)</f>
        <v>2.7777777777777776E-2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48</v>
      </c>
      <c r="D53" s="68">
        <v>0</v>
      </c>
      <c r="E53" s="65">
        <f>IFERROR(D53/D46,0)</f>
        <v>0</v>
      </c>
      <c r="F53" s="65">
        <f>IFERROR((C53+D53)/(C46+D46),0)</f>
        <v>0.66666666666666663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3.7037037037037035E-2</v>
      </c>
      <c r="D55" s="66">
        <f>IFERROR(D49/D46,0)</f>
        <v>1</v>
      </c>
      <c r="E55" s="66">
        <f>IFERROR(D49/(C46+D46),0)</f>
        <v>0.25</v>
      </c>
      <c r="F55" s="66">
        <f>IFERROR((C49+D49)/(C46+D46),0)</f>
        <v>0.27777777777777779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95</v>
      </c>
      <c r="D60" s="68">
        <v>181</v>
      </c>
      <c r="E60" s="60">
        <f>IFERROR(D60/(D60+C60),0)</f>
        <v>0.65579710144927539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36</v>
      </c>
      <c r="D61" s="68">
        <v>181</v>
      </c>
      <c r="E61" s="60">
        <f>IFERROR(D61/(D61+C61),0)</f>
        <v>0.83410138248847931</v>
      </c>
      <c r="F61" s="65">
        <f>IFERROR((C61+D61)/(C60+D60),0)</f>
        <v>0.78623188405797106</v>
      </c>
      <c r="G61" s="52"/>
      <c r="H61" s="53"/>
    </row>
    <row r="62" spans="1:8">
      <c r="A62" s="113" t="s">
        <v>99</v>
      </c>
      <c r="B62" s="114"/>
      <c r="C62" s="68">
        <v>33</v>
      </c>
      <c r="D62" s="68">
        <v>181</v>
      </c>
      <c r="E62" s="65">
        <f>IFERROR(D62/D61,0)</f>
        <v>1</v>
      </c>
      <c r="F62" s="65">
        <f>IFERROR((C62+D62)/(C61+D61),0)</f>
        <v>0.98617511520737322</v>
      </c>
      <c r="G62" s="52"/>
      <c r="H62" s="53"/>
    </row>
    <row r="63" spans="1:8">
      <c r="A63" s="113" t="s">
        <v>100</v>
      </c>
      <c r="B63" s="114"/>
      <c r="C63" s="68">
        <v>1</v>
      </c>
      <c r="D63" s="68">
        <v>0</v>
      </c>
      <c r="E63" s="65">
        <f>IFERROR(D63/D61,0)</f>
        <v>0</v>
      </c>
      <c r="F63" s="65">
        <f>IFERROR((C63+D63)/(C61+D61),0)</f>
        <v>4.608294930875576E-3</v>
      </c>
      <c r="G63" s="52"/>
      <c r="H63" s="53"/>
    </row>
    <row r="64" spans="1:8" ht="16.5" customHeight="1">
      <c r="A64" s="113" t="s">
        <v>102</v>
      </c>
      <c r="B64" s="114"/>
      <c r="C64" s="68">
        <v>2</v>
      </c>
      <c r="D64" s="68">
        <v>0</v>
      </c>
      <c r="E64" s="65">
        <f>IFERROR(D64/D60,0)</f>
        <v>0</v>
      </c>
      <c r="F64" s="65">
        <f>IFERROR((C64+D64)/(C60+D60),0)</f>
        <v>7.246376811594203E-3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59</v>
      </c>
      <c r="D66" s="68">
        <v>0</v>
      </c>
      <c r="E66" s="65">
        <f>IFERROR(D66/D60,0)</f>
        <v>0</v>
      </c>
      <c r="F66" s="65">
        <f>IFERROR((C66+D66)/(C60+D60),0)</f>
        <v>0.21376811594202899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0.3473684210526316</v>
      </c>
      <c r="D68" s="66">
        <f>IFERROR(D62/D60,0)</f>
        <v>1</v>
      </c>
      <c r="E68" s="66">
        <f>IFERROR(D62/(C60+D60),0)</f>
        <v>0.65579710144927539</v>
      </c>
      <c r="F68" s="66">
        <f>IFERROR((C62+D62)/(C60+D60),0)</f>
        <v>0.77536231884057971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1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2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1</v>
      </c>
      <c r="E106" s="70">
        <v>0</v>
      </c>
      <c r="F106" s="72">
        <f>SUM(B106:E106)</f>
        <v>1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1</v>
      </c>
      <c r="E107" s="70">
        <v>0</v>
      </c>
      <c r="F107" s="72">
        <f t="shared" ref="F107:F115" si="0">SUM(B107:E107)</f>
        <v>1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1</v>
      </c>
      <c r="C114" s="70">
        <v>8</v>
      </c>
      <c r="D114" s="70">
        <v>12</v>
      </c>
      <c r="E114" s="70">
        <v>0</v>
      </c>
      <c r="F114" s="72">
        <f t="shared" si="0"/>
        <v>21</v>
      </c>
      <c r="G114" s="26"/>
      <c r="H114" s="31"/>
    </row>
    <row r="115" spans="1:8">
      <c r="A115" s="69" t="s">
        <v>149</v>
      </c>
      <c r="B115" s="72">
        <f>SUM(B106:B114)</f>
        <v>1</v>
      </c>
      <c r="C115" s="72">
        <f t="shared" ref="C115:E115" si="1">SUM(C106:C114)</f>
        <v>8</v>
      </c>
      <c r="D115" s="72">
        <f t="shared" si="1"/>
        <v>14</v>
      </c>
      <c r="E115" s="72">
        <f t="shared" si="1"/>
        <v>0</v>
      </c>
      <c r="F115" s="72">
        <f t="shared" si="0"/>
        <v>23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</mergeCells>
  <conditionalFormatting sqref="C7">
    <cfRule type="cellIs" dxfId="79" priority="1" stopIfTrue="1" operator="equal">
      <formula>"Green"</formula>
    </cfRule>
    <cfRule type="cellIs" dxfId="78" priority="2" stopIfTrue="1" operator="equal">
      <formula>"Red"</formula>
    </cfRule>
    <cfRule type="cellIs" dxfId="77" priority="3" stopIfTrue="1" operator="equal">
      <formula>"Yellow"</formula>
    </cfRule>
    <cfRule type="cellIs" dxfId="76" priority="4" stopIfTrue="1" operator="equal">
      <formula>"Blue"</formula>
    </cfRule>
    <cfRule type="cellIs" dxfId="75" priority="5" operator="equal">
      <formula>"Green Trending Yellow"</formula>
    </cfRule>
    <cfRule type="cellIs" dxfId="74" priority="6" operator="equal">
      <formula>"Yellow Trending Green"</formula>
    </cfRule>
    <cfRule type="cellIs" dxfId="73" priority="7" operator="equal">
      <formula>"Red Trending Green"</formula>
    </cfRule>
    <cfRule type="cellIs" dxfId="72" priority="8" operator="equal">
      <formula>"Green Trending Red"</formula>
    </cfRule>
    <cfRule type="cellIs" dxfId="71" priority="9" operator="equal">
      <formula>"Yellow Trending Red"</formula>
    </cfRule>
    <cfRule type="cellIs" dxfId="70" priority="10" operator="equal">
      <formula>"Red Trending Yellow"</formula>
    </cfRule>
    <cfRule type="cellIs" dxfId="69" priority="11" stopIfTrue="1" operator="equal">
      <formula>"White"</formula>
    </cfRule>
  </conditionalFormatting>
  <dataValidations count="3">
    <dataValidation type="list" allowBlank="1" showInputMessage="1" showErrorMessage="1" sqref="C5" xr:uid="{4FD25266-3A80-4D66-80CE-ED645933C31F}"/>
    <dataValidation type="list" allowBlank="1" showInputMessage="1" showErrorMessage="1" sqref="C6" xr:uid="{42AC5ABB-3349-494E-B65B-4C30DEEF6684}">
      <formula1>"SIT 1, SIT 2, UAT 1, UAT 2, SIT/UAT, Sprint"</formula1>
    </dataValidation>
    <dataValidation type="list" allowBlank="1" showInputMessage="1" showErrorMessage="1" sqref="C7:D7" xr:uid="{FE14D86F-2502-44F8-8A2E-21C9C52F04F4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03681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8725A-B88E-4AE0-85B4-00425BF0CCE2}">
  <sheetPr codeName="Sheet55"/>
  <dimension ref="A1:M230"/>
  <sheetViews>
    <sheetView topLeftCell="A99" workbookViewId="0">
      <selection activeCell="D115" sqref="D115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73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50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25</v>
      </c>
      <c r="D35" s="68">
        <v>28</v>
      </c>
      <c r="E35" s="60">
        <f>IFERROR((C35+D35)/C33,0)</f>
        <v>1.06</v>
      </c>
      <c r="F35" s="182"/>
      <c r="G35" s="183"/>
      <c r="H35" s="184"/>
    </row>
    <row r="36" spans="1:8">
      <c r="A36" s="113" t="s">
        <v>99</v>
      </c>
      <c r="B36" s="114"/>
      <c r="C36" s="68">
        <v>25</v>
      </c>
      <c r="D36" s="68">
        <v>28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600</v>
      </c>
      <c r="D46" s="68">
        <v>350</v>
      </c>
      <c r="E46" s="60">
        <f>IFERROR(D46/(D46+C46),0)</f>
        <v>0.36842105263157893</v>
      </c>
      <c r="F46" s="64"/>
      <c r="G46" s="52"/>
      <c r="H46" s="53"/>
    </row>
    <row r="47" spans="1:8">
      <c r="A47" s="177" t="s">
        <v>216</v>
      </c>
      <c r="B47" s="178"/>
      <c r="C47" s="91">
        <v>154</v>
      </c>
      <c r="D47" s="91">
        <v>81</v>
      </c>
      <c r="E47" s="92">
        <f>IFERROR(D47/(D47+C47),0)</f>
        <v>0.34468085106382979</v>
      </c>
      <c r="F47" s="64"/>
      <c r="G47" s="52"/>
      <c r="H47" s="53"/>
    </row>
    <row r="48" spans="1:8">
      <c r="A48" s="115" t="s">
        <v>98</v>
      </c>
      <c r="B48" s="116"/>
      <c r="C48" s="68">
        <v>157</v>
      </c>
      <c r="D48" s="68">
        <v>81</v>
      </c>
      <c r="E48" s="60">
        <f>IFERROR(D48/(D48+C48),0)</f>
        <v>0.34033613445378152</v>
      </c>
      <c r="F48" s="65">
        <f>IFERROR((C48+D48)/(C46+D46),0)</f>
        <v>0.25052631578947371</v>
      </c>
      <c r="G48" s="52"/>
      <c r="H48" s="53"/>
    </row>
    <row r="49" spans="1:8">
      <c r="A49" s="113" t="s">
        <v>99</v>
      </c>
      <c r="B49" s="114"/>
      <c r="C49" s="68">
        <v>152</v>
      </c>
      <c r="D49" s="68">
        <v>81</v>
      </c>
      <c r="E49" s="65">
        <f>IFERROR(D49/D48,0)</f>
        <v>1</v>
      </c>
      <c r="F49" s="65">
        <f>IFERROR((C49+D49)/(C48+D48),0)</f>
        <v>0.97899159663865543</v>
      </c>
      <c r="G49" s="52"/>
      <c r="H49" s="53"/>
    </row>
    <row r="50" spans="1:8">
      <c r="A50" s="113" t="s">
        <v>100</v>
      </c>
      <c r="B50" s="114"/>
      <c r="C50" s="68">
        <v>5</v>
      </c>
      <c r="D50" s="68">
        <v>0</v>
      </c>
      <c r="E50" s="65">
        <f>IFERROR(D50/D48,0)</f>
        <v>0</v>
      </c>
      <c r="F50" s="65">
        <f>IFERROR((C50+D50)/(C48+D48),0)</f>
        <v>2.100840336134454E-2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446</v>
      </c>
      <c r="D53" s="68">
        <v>269</v>
      </c>
      <c r="E53" s="65">
        <f>IFERROR(D53/D46,0)</f>
        <v>0.76857142857142857</v>
      </c>
      <c r="F53" s="65">
        <f>IFERROR((C53+D53)/(C46+D46),0)</f>
        <v>0.75263157894736843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0.25333333333333335</v>
      </c>
      <c r="D55" s="66">
        <f>IFERROR(D49/D46,0)</f>
        <v>0.23142857142857143</v>
      </c>
      <c r="E55" s="66">
        <f>IFERROR(D49/(C46+D46),0)</f>
        <v>8.5263157894736846E-2</v>
      </c>
      <c r="F55" s="66">
        <f>IFERROR((C49+D49)/(C46+D46),0)</f>
        <v>0.24526315789473685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1760</v>
      </c>
      <c r="D60" s="68">
        <v>1040</v>
      </c>
      <c r="E60" s="60">
        <f>IFERROR(D60/(D60+C60),0)</f>
        <v>0.37142857142857144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1223</v>
      </c>
      <c r="D61" s="68">
        <v>771</v>
      </c>
      <c r="E61" s="60">
        <f>IFERROR(D61/(D61+C61),0)</f>
        <v>0.38665997993981943</v>
      </c>
      <c r="F61" s="65">
        <f>IFERROR((C61+D61)/(C60+D60),0)</f>
        <v>0.71214285714285719</v>
      </c>
      <c r="G61" s="52"/>
      <c r="H61" s="53"/>
    </row>
    <row r="62" spans="1:8">
      <c r="A62" s="113" t="s">
        <v>99</v>
      </c>
      <c r="B62" s="114"/>
      <c r="C62" s="68">
        <v>1196</v>
      </c>
      <c r="D62" s="68">
        <v>771</v>
      </c>
      <c r="E62" s="65">
        <f>IFERROR(D62/D61,0)</f>
        <v>1</v>
      </c>
      <c r="F62" s="65">
        <f>IFERROR((C62+D62)/(C61+D61),0)</f>
        <v>0.98645937813440321</v>
      </c>
      <c r="G62" s="52"/>
      <c r="H62" s="53"/>
    </row>
    <row r="63" spans="1:8">
      <c r="A63" s="113" t="s">
        <v>100</v>
      </c>
      <c r="B63" s="114"/>
      <c r="C63" s="68">
        <v>27</v>
      </c>
      <c r="D63" s="68">
        <v>0</v>
      </c>
      <c r="E63" s="65">
        <f>IFERROR(D63/D61,0)</f>
        <v>0</v>
      </c>
      <c r="F63" s="65">
        <f>IFERROR((C63+D63)/(C61+D61),0)</f>
        <v>1.354062186559679E-2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9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  <c r="I65" s="51"/>
    </row>
    <row r="66" spans="1:9">
      <c r="A66" s="113" t="s">
        <v>103</v>
      </c>
      <c r="B66" s="114"/>
      <c r="C66" s="68">
        <v>503</v>
      </c>
      <c r="D66" s="68">
        <v>269</v>
      </c>
      <c r="E66" s="65">
        <f>IFERROR(D66/D60,0)</f>
        <v>0.25865384615384618</v>
      </c>
      <c r="F66" s="65">
        <f>IFERROR((C66+D66)/(C60+D60),0)</f>
        <v>0.27571428571428569</v>
      </c>
      <c r="G66" s="52"/>
      <c r="H66" s="53"/>
      <c r="I66" s="51"/>
    </row>
    <row r="67" spans="1:9" ht="16.5" customHeight="1">
      <c r="A67" s="113" t="s">
        <v>104</v>
      </c>
      <c r="B67" s="114"/>
      <c r="C67" s="68">
        <v>34</v>
      </c>
      <c r="D67" s="68">
        <v>0</v>
      </c>
      <c r="E67" s="65">
        <f>IFERROR(D67/D60,0)</f>
        <v>0</v>
      </c>
      <c r="F67" s="65">
        <f>IFERROR((C67+D67)/(C60+D60),0)</f>
        <v>1.2142857142857143E-2</v>
      </c>
      <c r="G67" s="52"/>
      <c r="H67" s="53"/>
      <c r="I67" s="51"/>
    </row>
    <row r="68" spans="1:9">
      <c r="A68" s="117" t="s">
        <v>110</v>
      </c>
      <c r="B68" s="118"/>
      <c r="C68" s="66">
        <f>IFERROR(C62/C60,0)</f>
        <v>0.67954545454545456</v>
      </c>
      <c r="D68" s="66">
        <f>IFERROR(D62/D60,0)</f>
        <v>0.74134615384615388</v>
      </c>
      <c r="E68" s="66">
        <f>IFERROR(D62/(C60+D60),0)</f>
        <v>0.27535714285714286</v>
      </c>
      <c r="F68" s="66">
        <f>IFERROR((C62+D62)/(C60+D60),0)</f>
        <v>0.70250000000000001</v>
      </c>
      <c r="G68" s="52"/>
      <c r="H68" s="53"/>
      <c r="I68" s="51"/>
    </row>
    <row r="69" spans="1:9">
      <c r="A69" s="3" t="s">
        <v>105</v>
      </c>
      <c r="B69" s="52"/>
      <c r="C69" s="52"/>
      <c r="D69" s="52"/>
      <c r="E69" s="52"/>
      <c r="F69" s="52"/>
      <c r="G69" s="52"/>
      <c r="H69" s="53"/>
      <c r="I69" s="51" t="s">
        <v>91</v>
      </c>
    </row>
    <row r="70" spans="1:9">
      <c r="A70" s="57"/>
      <c r="B70" s="52"/>
      <c r="C70" s="52"/>
      <c r="D70" s="52"/>
      <c r="E70" s="52"/>
      <c r="F70" s="52"/>
      <c r="G70" s="52"/>
      <c r="H70" s="53"/>
      <c r="I70" s="51"/>
    </row>
    <row r="71" spans="1:9" ht="16.5" customHeight="1">
      <c r="A71" s="57"/>
      <c r="B71" s="52"/>
      <c r="C71" s="52"/>
      <c r="D71" s="52"/>
      <c r="E71" s="52"/>
      <c r="F71" s="52"/>
      <c r="G71" s="52"/>
      <c r="H71" s="53"/>
      <c r="I71" s="51"/>
    </row>
    <row r="72" spans="1:9">
      <c r="A72" s="108" t="s">
        <v>112</v>
      </c>
      <c r="B72" s="108"/>
      <c r="C72" s="52"/>
      <c r="D72" s="52"/>
      <c r="E72" s="52"/>
      <c r="F72" s="52"/>
      <c r="G72" s="52"/>
      <c r="H72" s="53"/>
      <c r="I72" s="51"/>
    </row>
    <row r="73" spans="1:9" ht="16.5" customHeight="1">
      <c r="A73" s="109" t="s">
        <v>113</v>
      </c>
      <c r="B73" s="110"/>
      <c r="C73" s="52"/>
      <c r="D73" s="52"/>
      <c r="E73" s="52"/>
      <c r="F73" s="52"/>
      <c r="G73" s="52"/>
      <c r="H73" s="53"/>
      <c r="I73" s="51"/>
    </row>
    <row r="74" spans="1:9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  <c r="I74" s="51"/>
    </row>
    <row r="75" spans="1:9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  <c r="I75" s="51"/>
    </row>
    <row r="76" spans="1:9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  <c r="I76" s="51"/>
    </row>
    <row r="77" spans="1:9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  <c r="I77" s="51"/>
    </row>
    <row r="78" spans="1:9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  <c r="I78" s="51"/>
    </row>
    <row r="79" spans="1:9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  <c r="I79" s="51"/>
    </row>
    <row r="80" spans="1:9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  <c r="I80" s="51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1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1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1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1</v>
      </c>
      <c r="D106" s="70">
        <v>0</v>
      </c>
      <c r="E106" s="70">
        <v>0</v>
      </c>
      <c r="F106" s="72">
        <f>SUM(B106:E106)</f>
        <v>1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3</v>
      </c>
      <c r="D107" s="70">
        <v>0</v>
      </c>
      <c r="E107" s="70">
        <v>0</v>
      </c>
      <c r="F107" s="72">
        <f t="shared" ref="F107:F115" si="0">SUM(B107:E107)</f>
        <v>3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1</v>
      </c>
      <c r="D109" s="70">
        <v>3</v>
      </c>
      <c r="E109" s="70">
        <v>0</v>
      </c>
      <c r="F109" s="72">
        <f t="shared" si="0"/>
        <v>4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1</v>
      </c>
      <c r="D110" s="70">
        <v>0</v>
      </c>
      <c r="E110" s="70">
        <v>0</v>
      </c>
      <c r="F110" s="72">
        <f t="shared" si="0"/>
        <v>1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1</v>
      </c>
      <c r="D111" s="70">
        <v>0</v>
      </c>
      <c r="E111" s="70">
        <v>0</v>
      </c>
      <c r="F111" s="72">
        <f t="shared" si="0"/>
        <v>1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1</v>
      </c>
      <c r="C114" s="70">
        <v>60</v>
      </c>
      <c r="D114" s="70">
        <v>56</v>
      </c>
      <c r="E114" s="70">
        <v>0</v>
      </c>
      <c r="F114" s="72">
        <f t="shared" si="0"/>
        <v>117</v>
      </c>
      <c r="G114" s="26"/>
      <c r="H114" s="31"/>
    </row>
    <row r="115" spans="1:8">
      <c r="A115" s="69" t="s">
        <v>149</v>
      </c>
      <c r="B115" s="72">
        <f>SUM(B106:B114)</f>
        <v>1</v>
      </c>
      <c r="C115" s="72">
        <f t="shared" ref="C115:E115" si="1">SUM(C106:C114)</f>
        <v>67</v>
      </c>
      <c r="D115" s="72">
        <f t="shared" si="1"/>
        <v>59</v>
      </c>
      <c r="E115" s="72">
        <f t="shared" si="1"/>
        <v>0</v>
      </c>
      <c r="F115" s="72">
        <f t="shared" si="0"/>
        <v>127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</mergeCells>
  <conditionalFormatting sqref="C7">
    <cfRule type="cellIs" dxfId="68" priority="1" stopIfTrue="1" operator="equal">
      <formula>"Green"</formula>
    </cfRule>
    <cfRule type="cellIs" dxfId="67" priority="2" stopIfTrue="1" operator="equal">
      <formula>"Red"</formula>
    </cfRule>
    <cfRule type="cellIs" dxfId="66" priority="3" stopIfTrue="1" operator="equal">
      <formula>"Yellow"</formula>
    </cfRule>
    <cfRule type="cellIs" dxfId="65" priority="4" stopIfTrue="1" operator="equal">
      <formula>"Blue"</formula>
    </cfRule>
    <cfRule type="cellIs" dxfId="64" priority="5" operator="equal">
      <formula>"Green Trending Yellow"</formula>
    </cfRule>
    <cfRule type="cellIs" dxfId="63" priority="6" operator="equal">
      <formula>"Yellow Trending Green"</formula>
    </cfRule>
    <cfRule type="cellIs" dxfId="62" priority="7" operator="equal">
      <formula>"Red Trending Green"</formula>
    </cfRule>
    <cfRule type="cellIs" dxfId="61" priority="8" operator="equal">
      <formula>"Green Trending Red"</formula>
    </cfRule>
    <cfRule type="cellIs" dxfId="60" priority="9" operator="equal">
      <formula>"Yellow Trending Red"</formula>
    </cfRule>
    <cfRule type="cellIs" dxfId="59" priority="10" operator="equal">
      <formula>"Red Trending Yellow"</formula>
    </cfRule>
    <cfRule type="cellIs" dxfId="58" priority="11" stopIfTrue="1" operator="equal">
      <formula>"White"</formula>
    </cfRule>
  </conditionalFormatting>
  <dataValidations count="3">
    <dataValidation type="list" allowBlank="1" showInputMessage="1" showErrorMessage="1" sqref="C5" xr:uid="{97A7F780-3CB7-4D55-A736-EFAAAE75B367}"/>
    <dataValidation type="list" allowBlank="1" showInputMessage="1" showErrorMessage="1" sqref="C6" xr:uid="{4B5331CE-E5F7-4B7D-A5A9-A4FCA0FF6C1F}">
      <formula1>"SIT 1, SIT 2, UAT 1, UAT 2, SIT/UAT, Sprint"</formula1>
    </dataValidation>
    <dataValidation type="list" allowBlank="1" showInputMessage="1" showErrorMessage="1" sqref="C7:D7" xr:uid="{E4E53D91-BB21-4296-90A7-E85203546169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02657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4197-A790-4725-80A5-04D76E7DEC4A}">
  <sheetPr codeName="Sheet48"/>
  <dimension ref="A1:M230"/>
  <sheetViews>
    <sheetView topLeftCell="A99" workbookViewId="0">
      <selection activeCell="D114" sqref="D114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232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45977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15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15</v>
      </c>
      <c r="D35" s="68">
        <v>0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15</v>
      </c>
      <c r="D36" s="68">
        <v>0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195</v>
      </c>
      <c r="D46" s="68">
        <v>0</v>
      </c>
      <c r="E46" s="60">
        <f>IFERROR(D46/(D46+C46),0)</f>
        <v>0</v>
      </c>
      <c r="F46" s="64"/>
      <c r="G46" s="52"/>
      <c r="H46" s="53"/>
    </row>
    <row r="47" spans="1:8">
      <c r="A47" s="177" t="s">
        <v>216</v>
      </c>
      <c r="B47" s="178"/>
      <c r="C47" s="91">
        <v>195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35</v>
      </c>
      <c r="D48" s="68">
        <v>0</v>
      </c>
      <c r="E48" s="60">
        <f>IFERROR(D48/(D48+C48),0)</f>
        <v>0</v>
      </c>
      <c r="F48" s="65">
        <f>IFERROR((C48+D48)/(C46+D46),0)</f>
        <v>0.17948717948717949</v>
      </c>
      <c r="G48" s="52"/>
      <c r="H48" s="53"/>
    </row>
    <row r="49" spans="1:8">
      <c r="A49" s="113" t="s">
        <v>99</v>
      </c>
      <c r="B49" s="114"/>
      <c r="C49" s="68">
        <v>35</v>
      </c>
      <c r="D49" s="68">
        <v>0</v>
      </c>
      <c r="E49" s="65">
        <f>IFERROR(D49/D48,0)</f>
        <v>0</v>
      </c>
      <c r="F49" s="65">
        <f>IFERROR((C49+D49)/(C48+D48),0)</f>
        <v>1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160</v>
      </c>
      <c r="D53" s="68">
        <v>0</v>
      </c>
      <c r="E53" s="65">
        <f>IFERROR(D53/D46,0)</f>
        <v>0</v>
      </c>
      <c r="F53" s="65">
        <f>IFERROR((C53+D53)/(C46+D46),0)</f>
        <v>0.82051282051282048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0.17948717948717949</v>
      </c>
      <c r="D55" s="66">
        <f>IFERROR(D49/D46,0)</f>
        <v>0</v>
      </c>
      <c r="E55" s="66">
        <f>IFERROR(D49/(C46+D46),0)</f>
        <v>0</v>
      </c>
      <c r="F55" s="66">
        <f>IFERROR((C49+D49)/(C46+D46),0)</f>
        <v>0.17948717948717949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540</v>
      </c>
      <c r="D60" s="68">
        <v>0</v>
      </c>
      <c r="E60" s="60">
        <f>IFERROR(D60/(D60+C60),0)</f>
        <v>0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364</v>
      </c>
      <c r="D61" s="68">
        <v>0</v>
      </c>
      <c r="E61" s="60">
        <f>IFERROR(D61/(D61+C61),0)</f>
        <v>0</v>
      </c>
      <c r="F61" s="65">
        <f>IFERROR((C61+D61)/(C60+D60),0)</f>
        <v>0.67407407407407405</v>
      </c>
      <c r="G61" s="52"/>
      <c r="H61" s="53"/>
    </row>
    <row r="62" spans="1:8">
      <c r="A62" s="113" t="s">
        <v>99</v>
      </c>
      <c r="B62" s="114"/>
      <c r="C62" s="68">
        <v>364</v>
      </c>
      <c r="D62" s="68">
        <v>0</v>
      </c>
      <c r="E62" s="65">
        <f>IFERROR(D62/D61,0)</f>
        <v>0</v>
      </c>
      <c r="F62" s="65">
        <f>IFERROR((C62+D62)/(C61+D61),0)</f>
        <v>1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160</v>
      </c>
      <c r="D66" s="68">
        <v>0</v>
      </c>
      <c r="E66" s="65">
        <f>IFERROR(D66/D60,0)</f>
        <v>0</v>
      </c>
      <c r="F66" s="65">
        <f>IFERROR((C66+D66)/(C60+D60),0)</f>
        <v>0.29629629629629628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0.67407407407407405</v>
      </c>
      <c r="D68" s="66">
        <f>IFERROR(D62/D60,0)</f>
        <v>0</v>
      </c>
      <c r="E68" s="66">
        <f>IFERROR(D62/(C60+D60),0)</f>
        <v>0</v>
      </c>
      <c r="F68" s="66">
        <f>IFERROR((C62+D62)/(C60+D60),0)</f>
        <v>0.67407407407407405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1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1</v>
      </c>
      <c r="D109" s="70">
        <v>0</v>
      </c>
      <c r="E109" s="70">
        <v>0</v>
      </c>
      <c r="F109" s="72">
        <f t="shared" si="0"/>
        <v>1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3</v>
      </c>
      <c r="C114" s="70">
        <v>19</v>
      </c>
      <c r="D114" s="70">
        <v>2</v>
      </c>
      <c r="E114" s="70">
        <v>0</v>
      </c>
      <c r="F114" s="72">
        <f t="shared" si="0"/>
        <v>24</v>
      </c>
      <c r="G114" s="26"/>
      <c r="H114" s="31"/>
    </row>
    <row r="115" spans="1:8">
      <c r="A115" s="69" t="s">
        <v>149</v>
      </c>
      <c r="B115" s="72">
        <f>SUM(B106:B114)</f>
        <v>3</v>
      </c>
      <c r="C115" s="72">
        <f t="shared" ref="C115:E115" si="1">SUM(C106:C114)</f>
        <v>20</v>
      </c>
      <c r="D115" s="72">
        <f t="shared" si="1"/>
        <v>2</v>
      </c>
      <c r="E115" s="72">
        <f t="shared" si="1"/>
        <v>0</v>
      </c>
      <c r="F115" s="72">
        <f t="shared" si="0"/>
        <v>25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45977</v>
      </c>
    </row>
  </sheetData>
  <mergeCells count="161"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</mergeCells>
  <conditionalFormatting sqref="C7">
    <cfRule type="cellIs" dxfId="57" priority="1" stopIfTrue="1" operator="equal">
      <formula>"Green"</formula>
    </cfRule>
    <cfRule type="cellIs" dxfId="56" priority="2" stopIfTrue="1" operator="equal">
      <formula>"Red"</formula>
    </cfRule>
    <cfRule type="cellIs" dxfId="55" priority="3" stopIfTrue="1" operator="equal">
      <formula>"Yellow"</formula>
    </cfRule>
    <cfRule type="cellIs" dxfId="54" priority="4" stopIfTrue="1" operator="equal">
      <formula>"Blue"</formula>
    </cfRule>
    <cfRule type="cellIs" dxfId="53" priority="5" operator="equal">
      <formula>"Green Trending Yellow"</formula>
    </cfRule>
    <cfRule type="cellIs" dxfId="52" priority="6" operator="equal">
      <formula>"Yellow Trending Green"</formula>
    </cfRule>
    <cfRule type="cellIs" dxfId="51" priority="7" operator="equal">
      <formula>"Red Trending Green"</formula>
    </cfRule>
    <cfRule type="cellIs" dxfId="50" priority="8" operator="equal">
      <formula>"Green Trending Red"</formula>
    </cfRule>
    <cfRule type="cellIs" dxfId="49" priority="9" operator="equal">
      <formula>"Yellow Trending Red"</formula>
    </cfRule>
    <cfRule type="cellIs" dxfId="48" priority="10" operator="equal">
      <formula>"Red Trending Yellow"</formula>
    </cfRule>
    <cfRule type="cellIs" dxfId="47" priority="11" stopIfTrue="1" operator="equal">
      <formula>"White"</formula>
    </cfRule>
  </conditionalFormatting>
  <dataValidations count="3">
    <dataValidation type="list" allowBlank="1" showInputMessage="1" showErrorMessage="1" sqref="C5" xr:uid="{0E97B7AF-C31B-4119-BAD2-AED4E9CD23E9}"/>
    <dataValidation type="list" allowBlank="1" showInputMessage="1" showErrorMessage="1" sqref="C6" xr:uid="{9B86869F-1B1F-47C9-BFF8-390B83CB7BB1}">
      <formula1>"SIT 1, SIT 2, UAT 1, UAT 2, SIT/UAT, Sprint"</formula1>
    </dataValidation>
    <dataValidation type="list" allowBlank="1" showInputMessage="1" showErrorMessage="1" sqref="C7:D7" xr:uid="{2C403041-7EAD-4960-BB03-F1AB328DF8F2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99585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8EB54-9293-4171-A049-F1E6F1194E90}">
  <sheetPr codeName="Sheet47"/>
  <dimension ref="A1:M230"/>
  <sheetViews>
    <sheetView topLeftCell="A105" workbookViewId="0">
      <selection activeCell="C68" sqref="C68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80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233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45935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6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26</v>
      </c>
      <c r="D35" s="68">
        <v>0</v>
      </c>
      <c r="E35" s="60">
        <f>IFERROR((C35+D35)/C33,0)</f>
        <v>4.333333333333333</v>
      </c>
      <c r="F35" s="182"/>
      <c r="G35" s="183"/>
      <c r="H35" s="184"/>
    </row>
    <row r="36" spans="1:8">
      <c r="A36" s="113" t="s">
        <v>99</v>
      </c>
      <c r="B36" s="114"/>
      <c r="C36" s="68">
        <v>26</v>
      </c>
      <c r="D36" s="68">
        <v>0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26</v>
      </c>
      <c r="D46" s="68">
        <v>0</v>
      </c>
      <c r="E46" s="60">
        <f>IFERROR(D46/(D46+C46),0)</f>
        <v>0</v>
      </c>
      <c r="F46" s="64"/>
      <c r="G46" s="52"/>
      <c r="H46" s="53"/>
    </row>
    <row r="47" spans="1:8">
      <c r="A47" s="177" t="s">
        <v>216</v>
      </c>
      <c r="B47" s="178"/>
      <c r="C47" s="91">
        <v>0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26</v>
      </c>
      <c r="D48" s="68">
        <v>0</v>
      </c>
      <c r="E48" s="60">
        <f>IFERROR(D48/(D48+C48),0)</f>
        <v>0</v>
      </c>
      <c r="F48" s="65">
        <f>IFERROR((C48+D48)/(C46+D46),0)</f>
        <v>1</v>
      </c>
      <c r="G48" s="52"/>
      <c r="H48" s="53"/>
    </row>
    <row r="49" spans="1:8">
      <c r="A49" s="113" t="s">
        <v>99</v>
      </c>
      <c r="B49" s="114"/>
      <c r="C49" s="68">
        <v>26</v>
      </c>
      <c r="D49" s="68">
        <v>0</v>
      </c>
      <c r="E49" s="65">
        <f>IFERROR(D49/D48,0)</f>
        <v>0</v>
      </c>
      <c r="F49" s="65">
        <f>IFERROR((C49+D49)/(C48+D48),0)</f>
        <v>1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0</v>
      </c>
      <c r="D53" s="68">
        <v>0</v>
      </c>
      <c r="E53" s="65">
        <f>IFERROR(D53/D46,0)</f>
        <v>0</v>
      </c>
      <c r="F53" s="65">
        <f>IFERROR((C53+D53)/(C46+D46),0)</f>
        <v>0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1</v>
      </c>
      <c r="D55" s="66">
        <f>IFERROR(D49/D46,0)</f>
        <v>0</v>
      </c>
      <c r="E55" s="66">
        <f>IFERROR(D49/(C46+D46),0)</f>
        <v>0</v>
      </c>
      <c r="F55" s="66">
        <f>IFERROR((C49+D49)/(C46+D46),0)</f>
        <v>1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156</v>
      </c>
      <c r="D60" s="68">
        <v>0</v>
      </c>
      <c r="E60" s="60">
        <f>IFERROR(D60/(D60+C60),0)</f>
        <v>0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156</v>
      </c>
      <c r="D61" s="68">
        <v>0</v>
      </c>
      <c r="E61" s="60">
        <f>IFERROR(D61/(D61+C61),0)</f>
        <v>0</v>
      </c>
      <c r="F61" s="65">
        <f>IFERROR((C61+D61)/(C60+D60),0)</f>
        <v>1</v>
      </c>
      <c r="G61" s="52"/>
      <c r="H61" s="53"/>
    </row>
    <row r="62" spans="1:8">
      <c r="A62" s="113" t="s">
        <v>99</v>
      </c>
      <c r="B62" s="114"/>
      <c r="C62" s="68">
        <v>156</v>
      </c>
      <c r="D62" s="68">
        <v>0</v>
      </c>
      <c r="E62" s="65">
        <f>IFERROR(D62/D61,0)</f>
        <v>0</v>
      </c>
      <c r="F62" s="65">
        <f>IFERROR((C62+D62)/(C61+D61),0)</f>
        <v>1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0</v>
      </c>
      <c r="D66" s="68">
        <v>0</v>
      </c>
      <c r="E66" s="65">
        <f>IFERROR(D66/D60,0)</f>
        <v>0</v>
      </c>
      <c r="F66" s="65">
        <f>IFERROR((C66+D66)/(C60+D60),0)</f>
        <v>0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1</v>
      </c>
      <c r="D68" s="66">
        <f>IFERROR(D62/D60,0)</f>
        <v>0</v>
      </c>
      <c r="E68" s="66">
        <f>IFERROR(D62/(C60+D60),0)</f>
        <v>0</v>
      </c>
      <c r="F68" s="66">
        <f>IFERROR((C62+D62)/(C60+D60),0)</f>
        <v>1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1</v>
      </c>
      <c r="D114" s="70">
        <v>0</v>
      </c>
      <c r="E114" s="70">
        <v>0</v>
      </c>
      <c r="F114" s="72">
        <f t="shared" si="0"/>
        <v>1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1</v>
      </c>
      <c r="D115" s="72">
        <f t="shared" si="1"/>
        <v>0</v>
      </c>
      <c r="E115" s="72">
        <f t="shared" si="1"/>
        <v>0</v>
      </c>
      <c r="F115" s="72">
        <f t="shared" si="0"/>
        <v>1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45935</v>
      </c>
    </row>
  </sheetData>
  <mergeCells count="161"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</mergeCells>
  <conditionalFormatting sqref="C7">
    <cfRule type="cellIs" dxfId="46" priority="1" stopIfTrue="1" operator="equal">
      <formula>"Green"</formula>
    </cfRule>
    <cfRule type="cellIs" dxfId="45" priority="2" stopIfTrue="1" operator="equal">
      <formula>"Red"</formula>
    </cfRule>
    <cfRule type="cellIs" dxfId="44" priority="3" stopIfTrue="1" operator="equal">
      <formula>"Yellow"</formula>
    </cfRule>
    <cfRule type="cellIs" dxfId="43" priority="4" stopIfTrue="1" operator="equal">
      <formula>"Blue"</formula>
    </cfRule>
    <cfRule type="cellIs" dxfId="42" priority="5" operator="equal">
      <formula>"Green Trending Yellow"</formula>
    </cfRule>
    <cfRule type="cellIs" dxfId="41" priority="6" operator="equal">
      <formula>"Yellow Trending Green"</formula>
    </cfRule>
    <cfRule type="cellIs" dxfId="40" priority="7" operator="equal">
      <formula>"Red Trending Green"</formula>
    </cfRule>
    <cfRule type="cellIs" dxfId="39" priority="8" operator="equal">
      <formula>"Green Trending Red"</formula>
    </cfRule>
    <cfRule type="cellIs" dxfId="38" priority="9" operator="equal">
      <formula>"Yellow Trending Red"</formula>
    </cfRule>
    <cfRule type="cellIs" dxfId="37" priority="10" operator="equal">
      <formula>"Red Trending Yellow"</formula>
    </cfRule>
    <cfRule type="cellIs" dxfId="36" priority="11" stopIfTrue="1" operator="equal">
      <formula>"White"</formula>
    </cfRule>
  </conditionalFormatting>
  <dataValidations count="3">
    <dataValidation type="list" allowBlank="1" showInputMessage="1" showErrorMessage="1" sqref="C5" xr:uid="{8FB4D7CC-0581-4BFF-85AB-E1423D130A18}"/>
    <dataValidation type="list" allowBlank="1" showInputMessage="1" showErrorMessage="1" sqref="C6" xr:uid="{912F4C4F-5C33-40C5-B183-8A79A967FA4C}">
      <formula1>"SIT 1, SIT 2, UAT 1, UAT 2, SIT/UAT, Sprint"</formula1>
    </dataValidation>
    <dataValidation type="list" allowBlank="1" showInputMessage="1" showErrorMessage="1" sqref="C7:D7" xr:uid="{31919B8F-D019-4BB1-BB60-D6DB3A88B125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98561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92CEF-D252-4EA5-BE68-0E7946014C25}">
  <sheetPr codeName="Sheet46"/>
  <dimension ref="A1:M230"/>
  <sheetViews>
    <sheetView topLeftCell="A99" workbookViewId="0">
      <selection activeCell="D113" sqref="D113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77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 t="s">
        <v>234</v>
      </c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 t="s">
        <v>200</v>
      </c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>
        <v>45997</v>
      </c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25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25</v>
      </c>
      <c r="D35" s="68">
        <v>0</v>
      </c>
      <c r="E35" s="60">
        <f>IFERROR((C35+D35)/C33,0)</f>
        <v>1</v>
      </c>
      <c r="F35" s="182"/>
      <c r="G35" s="183"/>
      <c r="H35" s="184"/>
    </row>
    <row r="36" spans="1:8">
      <c r="A36" s="113" t="s">
        <v>99</v>
      </c>
      <c r="B36" s="114"/>
      <c r="C36" s="68">
        <v>25</v>
      </c>
      <c r="D36" s="68">
        <v>0</v>
      </c>
      <c r="E36" s="60">
        <f>IFERROR((C36+D36)/(C35+D35),0)</f>
        <v>1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767</v>
      </c>
      <c r="D46" s="68">
        <v>0</v>
      </c>
      <c r="E46" s="60">
        <f>IFERROR(D46/(D46+C46),0)</f>
        <v>0</v>
      </c>
      <c r="F46" s="64"/>
      <c r="G46" s="52"/>
      <c r="H46" s="53"/>
    </row>
    <row r="47" spans="1:8">
      <c r="A47" s="177" t="s">
        <v>216</v>
      </c>
      <c r="B47" s="178"/>
      <c r="C47" s="91">
        <v>757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757</v>
      </c>
      <c r="D48" s="68">
        <v>0</v>
      </c>
      <c r="E48" s="60">
        <f>IFERROR(D48/(D48+C48),0)</f>
        <v>0</v>
      </c>
      <c r="F48" s="65">
        <f>IFERROR((C48+D48)/(C46+D46),0)</f>
        <v>0.98696219035202082</v>
      </c>
      <c r="G48" s="52"/>
      <c r="H48" s="53"/>
    </row>
    <row r="49" spans="1:8">
      <c r="A49" s="113" t="s">
        <v>99</v>
      </c>
      <c r="B49" s="114"/>
      <c r="C49" s="68">
        <v>756</v>
      </c>
      <c r="D49" s="68">
        <v>0</v>
      </c>
      <c r="E49" s="65">
        <f>IFERROR(D49/D48,0)</f>
        <v>0</v>
      </c>
      <c r="F49" s="65">
        <f>IFERROR((C49+D49)/(C48+D48),0)</f>
        <v>0.99867899603698806</v>
      </c>
      <c r="G49" s="52"/>
      <c r="H49" s="53"/>
    </row>
    <row r="50" spans="1:8">
      <c r="A50" s="113" t="s">
        <v>100</v>
      </c>
      <c r="B50" s="114"/>
      <c r="C50" s="68">
        <v>1</v>
      </c>
      <c r="D50" s="68">
        <v>0</v>
      </c>
      <c r="E50" s="65">
        <f>IFERROR(D50/D48,0)</f>
        <v>0</v>
      </c>
      <c r="F50" s="65">
        <f>IFERROR((C50+D50)/(C48+D48),0)</f>
        <v>1.321003963011889E-3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10</v>
      </c>
      <c r="D53" s="68">
        <v>0</v>
      </c>
      <c r="E53" s="65">
        <f>IFERROR(D53/D46,0)</f>
        <v>0</v>
      </c>
      <c r="F53" s="65">
        <f>IFERROR((C53+D53)/(C46+D46),0)</f>
        <v>1.303780964797914E-2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0.98565840938722293</v>
      </c>
      <c r="D55" s="66">
        <f>IFERROR(D49/D46,0)</f>
        <v>0</v>
      </c>
      <c r="E55" s="66">
        <f>IFERROR(D49/(C46+D46),0)</f>
        <v>0</v>
      </c>
      <c r="F55" s="66">
        <f>IFERROR((C49+D49)/(C46+D46),0)</f>
        <v>0.98565840938722293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767</v>
      </c>
      <c r="D60" s="68">
        <v>0</v>
      </c>
      <c r="E60" s="60">
        <f>IFERROR(D60/(D60+C60),0)</f>
        <v>0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757</v>
      </c>
      <c r="D61" s="68">
        <v>0</v>
      </c>
      <c r="E61" s="60">
        <f>IFERROR(D61/(D61+C61),0)</f>
        <v>0</v>
      </c>
      <c r="F61" s="65">
        <f>IFERROR((C61+D61)/(C60+D60),0)</f>
        <v>0.98696219035202082</v>
      </c>
      <c r="G61" s="52"/>
      <c r="H61" s="53"/>
    </row>
    <row r="62" spans="1:8">
      <c r="A62" s="113" t="s">
        <v>99</v>
      </c>
      <c r="B62" s="114"/>
      <c r="C62" s="68">
        <v>756</v>
      </c>
      <c r="D62" s="68">
        <v>0</v>
      </c>
      <c r="E62" s="65">
        <f>IFERROR(D62/D61,0)</f>
        <v>0</v>
      </c>
      <c r="F62" s="65">
        <f>IFERROR((C62+D62)/(C61+D61),0)</f>
        <v>0.99867899603698806</v>
      </c>
      <c r="G62" s="52"/>
      <c r="H62" s="53"/>
    </row>
    <row r="63" spans="1:8">
      <c r="A63" s="113" t="s">
        <v>100</v>
      </c>
      <c r="B63" s="114"/>
      <c r="C63" s="68">
        <v>1</v>
      </c>
      <c r="D63" s="68">
        <v>0</v>
      </c>
      <c r="E63" s="65">
        <f>IFERROR(D63/D61,0)</f>
        <v>0</v>
      </c>
      <c r="F63" s="65">
        <f>IFERROR((C63+D63)/(C61+D61),0)</f>
        <v>1.321003963011889E-3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10</v>
      </c>
      <c r="D66" s="68">
        <v>0</v>
      </c>
      <c r="E66" s="65">
        <f>IFERROR(D66/D60,0)</f>
        <v>0</v>
      </c>
      <c r="F66" s="65">
        <f>IFERROR((C66+D66)/(C60+D60),0)</f>
        <v>1.303780964797914E-2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0.98565840938722293</v>
      </c>
      <c r="D68" s="66">
        <f>IFERROR(D62/D60,0)</f>
        <v>0</v>
      </c>
      <c r="E68" s="66">
        <f>IFERROR(D62/(C60+D60),0)</f>
        <v>0</v>
      </c>
      <c r="F68" s="66">
        <f>IFERROR((C62+D62)/(C60+D60),0)</f>
        <v>0.98565840938722293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1</v>
      </c>
      <c r="D107" s="70">
        <v>1</v>
      </c>
      <c r="E107" s="70">
        <v>0</v>
      </c>
      <c r="F107" s="72">
        <f t="shared" ref="F107:F115" si="0">SUM(B107:E107)</f>
        <v>2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4</v>
      </c>
      <c r="D114" s="70">
        <v>1</v>
      </c>
      <c r="E114" s="70">
        <v>0</v>
      </c>
      <c r="F114" s="72">
        <f t="shared" si="0"/>
        <v>5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5</v>
      </c>
      <c r="D115" s="72">
        <f t="shared" si="1"/>
        <v>2</v>
      </c>
      <c r="E115" s="72">
        <f t="shared" si="1"/>
        <v>0</v>
      </c>
      <c r="F115" s="72">
        <f t="shared" si="0"/>
        <v>7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45997</v>
      </c>
    </row>
  </sheetData>
  <mergeCells count="161"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</mergeCells>
  <conditionalFormatting sqref="C7">
    <cfRule type="cellIs" dxfId="35" priority="1" stopIfTrue="1" operator="equal">
      <formula>"Green"</formula>
    </cfRule>
    <cfRule type="cellIs" dxfId="34" priority="2" stopIfTrue="1" operator="equal">
      <formula>"Red"</formula>
    </cfRule>
    <cfRule type="cellIs" dxfId="33" priority="3" stopIfTrue="1" operator="equal">
      <formula>"Yellow"</formula>
    </cfRule>
    <cfRule type="cellIs" dxfId="32" priority="4" stopIfTrue="1" operator="equal">
      <formula>"Blue"</formula>
    </cfRule>
    <cfRule type="cellIs" dxfId="31" priority="5" operator="equal">
      <formula>"Green Trending Yellow"</formula>
    </cfRule>
    <cfRule type="cellIs" dxfId="30" priority="6" operator="equal">
      <formula>"Yellow Trending Green"</formula>
    </cfRule>
    <cfRule type="cellIs" dxfId="29" priority="7" operator="equal">
      <formula>"Red Trending Green"</formula>
    </cfRule>
    <cfRule type="cellIs" dxfId="28" priority="8" operator="equal">
      <formula>"Green Trending Red"</formula>
    </cfRule>
    <cfRule type="cellIs" dxfId="27" priority="9" operator="equal">
      <formula>"Yellow Trending Red"</formula>
    </cfRule>
    <cfRule type="cellIs" dxfId="26" priority="10" operator="equal">
      <formula>"Red Trending Yellow"</formula>
    </cfRule>
    <cfRule type="cellIs" dxfId="25" priority="11" stopIfTrue="1" operator="equal">
      <formula>"White"</formula>
    </cfRule>
  </conditionalFormatting>
  <dataValidations count="3">
    <dataValidation type="list" allowBlank="1" showInputMessage="1" showErrorMessage="1" sqref="C5" xr:uid="{AF86C069-CC7F-4CB2-A7BF-B4CAE6873FF9}"/>
    <dataValidation type="list" allowBlank="1" showInputMessage="1" showErrorMessage="1" sqref="C6" xr:uid="{FD50FBDB-3350-4A52-A735-252DFD45B77C}">
      <formula1>"SIT 1, SIT 2, UAT 1, UAT 2, SIT/UAT, Sprint"</formula1>
    </dataValidation>
    <dataValidation type="list" allowBlank="1" showInputMessage="1" showErrorMessage="1" sqref="C7:D7" xr:uid="{C16E18B1-982D-47F2-A605-12C2FC8F0DE3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97537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93F59-A541-47EB-AB1F-893D558FA148}">
  <sheetPr codeName="Sheet19"/>
  <dimension ref="A1:M230"/>
  <sheetViews>
    <sheetView workbookViewId="0">
      <selection activeCell="A11" sqref="A11:E15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 t="s">
        <v>235</v>
      </c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 t="s">
        <v>91</v>
      </c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/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 t="s">
        <v>91</v>
      </c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/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0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0</v>
      </c>
      <c r="D35" s="68">
        <v>0</v>
      </c>
      <c r="E35" s="60">
        <f>IFERROR((C35+D35)/C33,0)</f>
        <v>0</v>
      </c>
      <c r="F35" s="182"/>
      <c r="G35" s="183"/>
      <c r="H35" s="184"/>
    </row>
    <row r="36" spans="1:8">
      <c r="A36" s="113" t="s">
        <v>99</v>
      </c>
      <c r="B36" s="114"/>
      <c r="C36" s="68">
        <v>0</v>
      </c>
      <c r="D36" s="68">
        <v>0</v>
      </c>
      <c r="E36" s="60">
        <f>IFERROR((C36+D36)/(C35+D35),0)</f>
        <v>0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0</v>
      </c>
      <c r="D46" s="68">
        <v>0</v>
      </c>
      <c r="E46" s="60">
        <f>IFERROR(D46/(D46+C46),0)</f>
        <v>0</v>
      </c>
      <c r="F46" s="64"/>
      <c r="G46" s="52"/>
      <c r="H46" s="53"/>
    </row>
    <row r="47" spans="1:8">
      <c r="A47" s="177" t="s">
        <v>216</v>
      </c>
      <c r="B47" s="178"/>
      <c r="C47" s="91">
        <v>0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0</v>
      </c>
      <c r="D48" s="68">
        <v>0</v>
      </c>
      <c r="E48" s="60">
        <f>IFERROR(D48/(D48+C48),0)</f>
        <v>0</v>
      </c>
      <c r="F48" s="65">
        <f>IFERROR((C48+D48)/(C46+D46),0)</f>
        <v>0</v>
      </c>
      <c r="G48" s="52"/>
      <c r="H48" s="53"/>
    </row>
    <row r="49" spans="1:8">
      <c r="A49" s="113" t="s">
        <v>99</v>
      </c>
      <c r="B49" s="114"/>
      <c r="C49" s="68">
        <v>0</v>
      </c>
      <c r="D49" s="68">
        <v>0</v>
      </c>
      <c r="E49" s="65">
        <f>IFERROR(D49/D48,0)</f>
        <v>0</v>
      </c>
      <c r="F49" s="65">
        <f>IFERROR((C49+D49)/(C48+D48),0)</f>
        <v>0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0</v>
      </c>
      <c r="D53" s="68">
        <v>0</v>
      </c>
      <c r="E53" s="65">
        <f>IFERROR(D53/D46,0)</f>
        <v>0</v>
      </c>
      <c r="F53" s="65">
        <f>IFERROR((C53+D53)/(C46+D46),0)</f>
        <v>0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</v>
      </c>
      <c r="D55" s="66">
        <f>IFERROR(D49/D46,0)</f>
        <v>0</v>
      </c>
      <c r="E55" s="66">
        <f>IFERROR(D49/(C46+D46),0)</f>
        <v>0</v>
      </c>
      <c r="F55" s="66">
        <f>IFERROR((C49+D49)/(C46+D46),0)</f>
        <v>0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0</v>
      </c>
      <c r="D60" s="68">
        <v>0</v>
      </c>
      <c r="E60" s="60">
        <f>IFERROR(D60/(D60+C60),0)</f>
        <v>0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0</v>
      </c>
      <c r="D61" s="68">
        <v>0</v>
      </c>
      <c r="E61" s="60">
        <f>IFERROR(D61/(D61+C61),0)</f>
        <v>0</v>
      </c>
      <c r="F61" s="65">
        <f>IFERROR((C61+D61)/(C60+D60),0)</f>
        <v>0</v>
      </c>
      <c r="G61" s="52"/>
      <c r="H61" s="53"/>
    </row>
    <row r="62" spans="1:8">
      <c r="A62" s="113" t="s">
        <v>99</v>
      </c>
      <c r="B62" s="114"/>
      <c r="C62" s="68">
        <v>0</v>
      </c>
      <c r="D62" s="68">
        <v>0</v>
      </c>
      <c r="E62" s="65">
        <f>IFERROR(D62/D61,0)</f>
        <v>0</v>
      </c>
      <c r="F62" s="65">
        <f>IFERROR((C62+D62)/(C61+D61),0)</f>
        <v>0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0</v>
      </c>
      <c r="D66" s="68">
        <v>0</v>
      </c>
      <c r="E66" s="65">
        <f>IFERROR(D66/D60,0)</f>
        <v>0</v>
      </c>
      <c r="F66" s="65">
        <f>IFERROR((C66+D66)/(C60+D60),0)</f>
        <v>0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</v>
      </c>
      <c r="D68" s="66">
        <f>IFERROR(D62/D60,0)</f>
        <v>0</v>
      </c>
      <c r="E68" s="66">
        <f>IFERROR(D62/(C60+D60),0)</f>
        <v>0</v>
      </c>
      <c r="F68" s="66">
        <f>IFERROR((C62+D62)/(C60+D60),0)</f>
        <v>0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0</v>
      </c>
      <c r="E114" s="70">
        <v>0</v>
      </c>
      <c r="F114" s="72">
        <f t="shared" si="0"/>
        <v>0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0</v>
      </c>
      <c r="D115" s="72">
        <f t="shared" si="1"/>
        <v>0</v>
      </c>
      <c r="E115" s="72">
        <f t="shared" si="1"/>
        <v>0</v>
      </c>
      <c r="F115" s="72">
        <f t="shared" si="0"/>
        <v>0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  <row r="230" spans="2:2">
      <c r="B230" s="96">
        <v>45921</v>
      </c>
    </row>
  </sheetData>
  <mergeCells count="161">
    <mergeCell ref="A1:H1"/>
    <mergeCell ref="A3:B3"/>
    <mergeCell ref="C3:E3"/>
    <mergeCell ref="A5:B5"/>
    <mergeCell ref="A6:B6"/>
    <mergeCell ref="A7:B7"/>
    <mergeCell ref="C7:D7"/>
    <mergeCell ref="A19:B22"/>
    <mergeCell ref="C19:D22"/>
    <mergeCell ref="E19:E22"/>
    <mergeCell ref="A24:B24"/>
    <mergeCell ref="A32:C32"/>
    <mergeCell ref="A33:B33"/>
    <mergeCell ref="A8:B8"/>
    <mergeCell ref="C8:E8"/>
    <mergeCell ref="A10:B10"/>
    <mergeCell ref="A11:E15"/>
    <mergeCell ref="A18:B18"/>
    <mergeCell ref="C18:D18"/>
    <mergeCell ref="A45:B45"/>
    <mergeCell ref="A46:B46"/>
    <mergeCell ref="A47:B47"/>
    <mergeCell ref="A48:B48"/>
    <mergeCell ref="A49:B49"/>
    <mergeCell ref="A50:B50"/>
    <mergeCell ref="A34:B34"/>
    <mergeCell ref="F34:H34"/>
    <mergeCell ref="A35:B35"/>
    <mergeCell ref="F35:H41"/>
    <mergeCell ref="A36:B36"/>
    <mergeCell ref="A37:B37"/>
    <mergeCell ref="A38:B38"/>
    <mergeCell ref="A39:B39"/>
    <mergeCell ref="A40:B40"/>
    <mergeCell ref="A41:B41"/>
    <mergeCell ref="A60:B60"/>
    <mergeCell ref="A61:B61"/>
    <mergeCell ref="A62:B62"/>
    <mergeCell ref="A63:B63"/>
    <mergeCell ref="A64:B64"/>
    <mergeCell ref="A65:B65"/>
    <mergeCell ref="A51:B51"/>
    <mergeCell ref="A52:B52"/>
    <mergeCell ref="A53:B53"/>
    <mergeCell ref="A54:B54"/>
    <mergeCell ref="A55:B55"/>
    <mergeCell ref="A59:B59"/>
    <mergeCell ref="E74:F74"/>
    <mergeCell ref="G74:H74"/>
    <mergeCell ref="A75:B75"/>
    <mergeCell ref="C75:D75"/>
    <mergeCell ref="E75:F75"/>
    <mergeCell ref="G75:H75"/>
    <mergeCell ref="A66:B66"/>
    <mergeCell ref="A67:B67"/>
    <mergeCell ref="A68:B68"/>
    <mergeCell ref="A72:B72"/>
    <mergeCell ref="A73:B74"/>
    <mergeCell ref="C74:D74"/>
    <mergeCell ref="A78:B78"/>
    <mergeCell ref="C78:D78"/>
    <mergeCell ref="E78:F78"/>
    <mergeCell ref="G78:H78"/>
    <mergeCell ref="A79:B79"/>
    <mergeCell ref="C79:D79"/>
    <mergeCell ref="E79:F79"/>
    <mergeCell ref="G79:H79"/>
    <mergeCell ref="A76:B76"/>
    <mergeCell ref="C76:D76"/>
    <mergeCell ref="E76:F76"/>
    <mergeCell ref="G76:H76"/>
    <mergeCell ref="A77:B77"/>
    <mergeCell ref="C77:D77"/>
    <mergeCell ref="E77:F77"/>
    <mergeCell ref="G77:H77"/>
    <mergeCell ref="A82:B82"/>
    <mergeCell ref="C82:D82"/>
    <mergeCell ref="E82:F82"/>
    <mergeCell ref="G82:H82"/>
    <mergeCell ref="A83:B83"/>
    <mergeCell ref="C83:D83"/>
    <mergeCell ref="E83:F83"/>
    <mergeCell ref="G83:H83"/>
    <mergeCell ref="A80:B80"/>
    <mergeCell ref="C80:D80"/>
    <mergeCell ref="E80:F80"/>
    <mergeCell ref="G80:H80"/>
    <mergeCell ref="A81:B81"/>
    <mergeCell ref="C81:D81"/>
    <mergeCell ref="E81:F81"/>
    <mergeCell ref="G81:H81"/>
    <mergeCell ref="A86:B86"/>
    <mergeCell ref="C86:D86"/>
    <mergeCell ref="E86:F86"/>
    <mergeCell ref="G86:H86"/>
    <mergeCell ref="A87:B87"/>
    <mergeCell ref="C87:D87"/>
    <mergeCell ref="E87:F87"/>
    <mergeCell ref="G87:H87"/>
    <mergeCell ref="A84:B84"/>
    <mergeCell ref="C84:D84"/>
    <mergeCell ref="E84:F84"/>
    <mergeCell ref="G84:H84"/>
    <mergeCell ref="A85:B85"/>
    <mergeCell ref="C85:D85"/>
    <mergeCell ref="E85:F85"/>
    <mergeCell ref="G85:H85"/>
    <mergeCell ref="A90:B90"/>
    <mergeCell ref="C90:D90"/>
    <mergeCell ref="E90:F90"/>
    <mergeCell ref="G90:H90"/>
    <mergeCell ref="A91:B91"/>
    <mergeCell ref="C91:D91"/>
    <mergeCell ref="E91:F91"/>
    <mergeCell ref="G91:H91"/>
    <mergeCell ref="A88:B88"/>
    <mergeCell ref="C88:D88"/>
    <mergeCell ref="E88:F88"/>
    <mergeCell ref="G88:H88"/>
    <mergeCell ref="A89:B89"/>
    <mergeCell ref="C89:D89"/>
    <mergeCell ref="E89:F89"/>
    <mergeCell ref="G89:H89"/>
    <mergeCell ref="A94:B94"/>
    <mergeCell ref="C94:D94"/>
    <mergeCell ref="E94:F94"/>
    <mergeCell ref="G94:H94"/>
    <mergeCell ref="A97:C97"/>
    <mergeCell ref="A98:B98"/>
    <mergeCell ref="A92:B92"/>
    <mergeCell ref="C92:D92"/>
    <mergeCell ref="E92:F92"/>
    <mergeCell ref="G92:H92"/>
    <mergeCell ref="A93:B93"/>
    <mergeCell ref="C93:D93"/>
    <mergeCell ref="E93:F93"/>
    <mergeCell ref="G93:H93"/>
    <mergeCell ref="A128:B128"/>
    <mergeCell ref="A129:B129"/>
    <mergeCell ref="A130:B130"/>
    <mergeCell ref="A131:B131"/>
    <mergeCell ref="A132:B132"/>
    <mergeCell ref="A133:B133"/>
    <mergeCell ref="A99:B99"/>
    <mergeCell ref="A100:B100"/>
    <mergeCell ref="A101:B101"/>
    <mergeCell ref="A104:D104"/>
    <mergeCell ref="A118:B118"/>
    <mergeCell ref="A127:D127"/>
    <mergeCell ref="A140:B140"/>
    <mergeCell ref="A141:B141"/>
    <mergeCell ref="A142:B142"/>
    <mergeCell ref="A145:B145"/>
    <mergeCell ref="A154:C154"/>
    <mergeCell ref="A155:B155"/>
    <mergeCell ref="A134:B134"/>
    <mergeCell ref="A135:B135"/>
    <mergeCell ref="A136:B136"/>
    <mergeCell ref="A137:B137"/>
    <mergeCell ref="A138:B138"/>
    <mergeCell ref="A139:B139"/>
  </mergeCells>
  <conditionalFormatting sqref="C7">
    <cfRule type="cellIs" dxfId="24" priority="1" stopIfTrue="1" operator="equal">
      <formula>"Green"</formula>
    </cfRule>
    <cfRule type="cellIs" dxfId="23" priority="2" stopIfTrue="1" operator="equal">
      <formula>"Red"</formula>
    </cfRule>
    <cfRule type="cellIs" dxfId="22" priority="3" stopIfTrue="1" operator="equal">
      <formula>"Yellow"</formula>
    </cfRule>
    <cfRule type="cellIs" dxfId="21" priority="4" stopIfTrue="1" operator="equal">
      <formula>"Blue"</formula>
    </cfRule>
    <cfRule type="cellIs" dxfId="20" priority="5" operator="equal">
      <formula>"Green Trending Yellow"</formula>
    </cfRule>
    <cfRule type="cellIs" dxfId="19" priority="6" operator="equal">
      <formula>"Yellow Trending Green"</formula>
    </cfRule>
    <cfRule type="cellIs" dxfId="18" priority="7" operator="equal">
      <formula>"Red Trending Green"</formula>
    </cfRule>
    <cfRule type="cellIs" dxfId="17" priority="8" operator="equal">
      <formula>"Green Trending Red"</formula>
    </cfRule>
    <cfRule type="cellIs" dxfId="16" priority="9" operator="equal">
      <formula>"Yellow Trending Red"</formula>
    </cfRule>
    <cfRule type="cellIs" dxfId="15" priority="10" operator="equal">
      <formula>"Red Trending Yellow"</formula>
    </cfRule>
    <cfRule type="cellIs" dxfId="14" priority="11" stopIfTrue="1" operator="equal">
      <formula>"White"</formula>
    </cfRule>
  </conditionalFormatting>
  <dataValidations count="3">
    <dataValidation type="list" allowBlank="1" showInputMessage="1" showErrorMessage="1" sqref="C5" xr:uid="{28783B6E-9CEC-4945-8E4D-A2E20C84C2FC}"/>
    <dataValidation type="list" allowBlank="1" showInputMessage="1" showErrorMessage="1" sqref="C6" xr:uid="{E036072F-C04F-42AF-994B-5E8BB10D623D}">
      <formula1>"SIT 1, SIT 2, UAT 1, UAT 2, SIT/UAT, Sprint"</formula1>
    </dataValidation>
    <dataValidation type="list" allowBlank="1" showInputMessage="1" showErrorMessage="1" sqref="C7:D7" xr:uid="{95171909-9025-4E57-BE76-61301F8E731B}">
      <formula1>"Green,Yellow,Red,Green Trending Yellow,Yellow Trending Red,Yellow Trending Green,Red Trending Yellow,Green Trending Red, Red Trending Green"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42241" r:id="rId4" name="Button 1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O82"/>
  <sheetViews>
    <sheetView topLeftCell="A10" zoomScaleNormal="100" workbookViewId="0">
      <selection activeCell="H30" sqref="H30"/>
    </sheetView>
  </sheetViews>
  <sheetFormatPr defaultRowHeight="13.5"/>
  <cols>
    <col min="1" max="1" width="21.140625" customWidth="1"/>
    <col min="2" max="2" width="36.140625" customWidth="1"/>
  </cols>
  <sheetData>
    <row r="1" spans="1:3">
      <c r="A1" s="17" t="s">
        <v>236</v>
      </c>
      <c r="B1" s="17" t="s">
        <v>1</v>
      </c>
      <c r="C1" t="s">
        <v>91</v>
      </c>
    </row>
    <row r="2" spans="1:3">
      <c r="A2" s="17" t="s">
        <v>237</v>
      </c>
      <c r="B2" s="17" t="s">
        <v>91</v>
      </c>
    </row>
    <row r="3" spans="1:3">
      <c r="A3" s="17" t="s">
        <v>238</v>
      </c>
      <c r="B3" s="17" t="s">
        <v>91</v>
      </c>
    </row>
    <row r="4" spans="1:3">
      <c r="A4" s="17" t="s">
        <v>89</v>
      </c>
      <c r="B4" s="17" t="s">
        <v>91</v>
      </c>
    </row>
    <row r="5" spans="1:3">
      <c r="A5" s="17" t="s">
        <v>239</v>
      </c>
      <c r="B5" s="94" t="s">
        <v>91</v>
      </c>
    </row>
    <row r="6" spans="1:3">
      <c r="A6" s="17" t="s">
        <v>240</v>
      </c>
      <c r="B6" s="94"/>
    </row>
    <row r="7" spans="1:3">
      <c r="A7" s="17" t="s">
        <v>241</v>
      </c>
      <c r="B7" s="94"/>
    </row>
    <row r="8" spans="1:3">
      <c r="A8" s="17" t="s">
        <v>242</v>
      </c>
      <c r="B8" s="94"/>
    </row>
    <row r="9" spans="1:3">
      <c r="A9" s="17" t="s">
        <v>243</v>
      </c>
      <c r="B9" s="94"/>
    </row>
    <row r="10" spans="1:3">
      <c r="A10" s="17" t="s">
        <v>244</v>
      </c>
      <c r="B10" s="94"/>
    </row>
    <row r="11" spans="1:3">
      <c r="A11" s="17" t="s">
        <v>245</v>
      </c>
      <c r="B11" s="22"/>
    </row>
    <row r="12" spans="1:3">
      <c r="A12" s="17" t="s">
        <v>246</v>
      </c>
      <c r="B12" s="22"/>
    </row>
    <row r="13" spans="1:3">
      <c r="A13" s="17" t="s">
        <v>247</v>
      </c>
      <c r="B13" s="22" t="s">
        <v>248</v>
      </c>
    </row>
    <row r="78" spans="1:15">
      <c r="A78" t="s">
        <v>91</v>
      </c>
    </row>
    <row r="79" spans="1:15" ht="14.1">
      <c r="A79" s="97"/>
      <c r="B79" s="97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</row>
    <row r="80" spans="1:15">
      <c r="A80" s="98" t="s">
        <v>18</v>
      </c>
      <c r="B80" s="99">
        <f>SUM(0)</f>
        <v>0</v>
      </c>
      <c r="C80" s="99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</row>
    <row r="81" spans="1:15" ht="40.5">
      <c r="A81" s="98"/>
      <c r="B81" s="44" t="s">
        <v>3</v>
      </c>
      <c r="C81" s="44" t="s">
        <v>4</v>
      </c>
      <c r="D81" s="44" t="s">
        <v>19</v>
      </c>
      <c r="E81" s="44" t="s">
        <v>20</v>
      </c>
      <c r="F81" s="44" t="s">
        <v>21</v>
      </c>
      <c r="G81" s="100" t="s">
        <v>22</v>
      </c>
      <c r="H81" s="100"/>
      <c r="I81" s="100" t="s">
        <v>23</v>
      </c>
      <c r="J81" s="100"/>
      <c r="K81" s="100" t="s">
        <v>10</v>
      </c>
      <c r="L81" s="100"/>
      <c r="M81" s="45" t="s">
        <v>11</v>
      </c>
      <c r="N81" s="45" t="s">
        <v>12</v>
      </c>
      <c r="O81" s="45" t="s">
        <v>13</v>
      </c>
    </row>
    <row r="82" spans="1:15">
      <c r="A82" s="98"/>
      <c r="B82" s="46" t="s">
        <v>18</v>
      </c>
      <c r="C82" s="46">
        <f>SUM(0)</f>
        <v>0</v>
      </c>
      <c r="D82" s="47">
        <f>SUM(0)</f>
        <v>0</v>
      </c>
      <c r="E82" s="46">
        <f>SUM(0)</f>
        <v>0</v>
      </c>
      <c r="F82" s="46">
        <f>SUM(0)</f>
        <v>0</v>
      </c>
      <c r="G82" s="48">
        <f>SUM(0)</f>
        <v>0</v>
      </c>
      <c r="H82" s="46"/>
      <c r="I82" s="48">
        <f>SUM(0)</f>
        <v>0</v>
      </c>
      <c r="J82" s="46"/>
      <c r="K82" s="48">
        <f>SUM(0)</f>
        <v>0</v>
      </c>
      <c r="L82" s="46"/>
      <c r="M82" s="48">
        <f>SUM(0)</f>
        <v>0</v>
      </c>
      <c r="N82" s="48">
        <f>SUM(0)</f>
        <v>0</v>
      </c>
      <c r="O82" s="48">
        <f>SUM(0)</f>
        <v>0</v>
      </c>
    </row>
  </sheetData>
  <dataConsolidate/>
  <mergeCells count="6">
    <mergeCell ref="K81:L81"/>
    <mergeCell ref="A80:A82"/>
    <mergeCell ref="A79:O79"/>
    <mergeCell ref="B80:O80"/>
    <mergeCell ref="G81:H81"/>
    <mergeCell ref="I81:J81"/>
  </mergeCells>
  <conditionalFormatting sqref="B82:C82 A80">
    <cfRule type="cellIs" dxfId="13" priority="3" operator="equal">
      <formula>"G"</formula>
    </cfRule>
  </conditionalFormatting>
  <conditionalFormatting sqref="A80 B82:C82">
    <cfRule type="cellIs" dxfId="12" priority="1" operator="equal">
      <formula>"R"</formula>
    </cfRule>
    <cfRule type="cellIs" dxfId="11" priority="2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Tab">
                <anchor moveWithCells="1" sizeWithCells="1">
                  <from>
                    <xdr:col>0</xdr:col>
                    <xdr:colOff>260350</xdr:colOff>
                    <xdr:row>14</xdr:row>
                    <xdr:rowOff>31750</xdr:rowOff>
                  </from>
                  <to>
                    <xdr:col>1</xdr:col>
                    <xdr:colOff>69850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tForm">
                <anchor moveWithCells="1" sizeWithCells="1">
                  <from>
                    <xdr:col>1</xdr:col>
                    <xdr:colOff>152400</xdr:colOff>
                    <xdr:row>14</xdr:row>
                    <xdr:rowOff>31750</xdr:rowOff>
                  </from>
                  <to>
                    <xdr:col>1</xdr:col>
                    <xdr:colOff>1403350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delRef">
                <anchor moveWithCells="1" sizeWithCells="1">
                  <from>
                    <xdr:col>1</xdr:col>
                    <xdr:colOff>1517650</xdr:colOff>
                    <xdr:row>14</xdr:row>
                    <xdr:rowOff>31750</xdr:rowOff>
                  </from>
                  <to>
                    <xdr:col>2</xdr:col>
                    <xdr:colOff>336550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breakLinks">
                <anchor moveWithCells="1" sizeWithCells="1">
                  <from>
                    <xdr:col>0</xdr:col>
                    <xdr:colOff>304800</xdr:colOff>
                    <xdr:row>17</xdr:row>
                    <xdr:rowOff>0</xdr:rowOff>
                  </from>
                  <to>
                    <xdr:col>1</xdr:col>
                    <xdr:colOff>69850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autoEmail">
                <anchor moveWithCells="1" sizeWithCells="1">
                  <from>
                    <xdr:col>1</xdr:col>
                    <xdr:colOff>184150</xdr:colOff>
                    <xdr:row>17</xdr:row>
                    <xdr:rowOff>31750</xdr:rowOff>
                  </from>
                  <to>
                    <xdr:col>1</xdr:col>
                    <xdr:colOff>1403350</xdr:colOff>
                    <xdr:row>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emailDashboard">
                <anchor moveWithCells="1" sizeWithCells="1">
                  <from>
                    <xdr:col>1</xdr:col>
                    <xdr:colOff>1517650</xdr:colOff>
                    <xdr:row>16</xdr:row>
                    <xdr:rowOff>184150</xdr:rowOff>
                  </from>
                  <to>
                    <xdr:col>2</xdr:col>
                    <xdr:colOff>336550</xdr:colOff>
                    <xdr:row>18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M160"/>
  <sheetViews>
    <sheetView topLeftCell="A15" workbookViewId="0">
      <selection activeCell="G5" sqref="G5"/>
    </sheetView>
  </sheetViews>
  <sheetFormatPr defaultColWidth="9.140625" defaultRowHeight="14.45"/>
  <cols>
    <col min="1" max="1" width="16.140625" style="1" customWidth="1"/>
    <col min="2" max="2" width="17.140625" style="1" customWidth="1"/>
    <col min="3" max="3" width="15.140625" style="1" customWidth="1"/>
    <col min="4" max="4" width="18.140625" style="1" customWidth="1"/>
    <col min="5" max="5" width="18.85546875" style="1" customWidth="1"/>
    <col min="6" max="6" width="15.85546875" style="1" customWidth="1"/>
    <col min="7" max="7" width="15.140625" style="1" customWidth="1"/>
    <col min="8" max="8" width="16.85546875" style="1" customWidth="1"/>
    <col min="9" max="16384" width="9.140625" style="1"/>
  </cols>
  <sheetData>
    <row r="1" spans="1:13" ht="25.5" customHeight="1">
      <c r="A1" s="140" t="s">
        <v>196</v>
      </c>
      <c r="B1" s="141"/>
      <c r="C1" s="141"/>
      <c r="D1" s="141"/>
      <c r="E1" s="141"/>
      <c r="F1" s="141"/>
      <c r="G1" s="141"/>
      <c r="H1" s="142"/>
      <c r="I1" s="51"/>
      <c r="J1" s="51"/>
      <c r="K1" s="51"/>
      <c r="L1" s="51"/>
      <c r="M1" s="51"/>
    </row>
    <row r="2" spans="1:13">
      <c r="A2" s="57"/>
      <c r="B2" s="52"/>
      <c r="C2" s="52"/>
      <c r="D2" s="52"/>
      <c r="E2" s="52"/>
      <c r="F2" s="52"/>
      <c r="G2" s="52"/>
      <c r="H2" s="53"/>
      <c r="I2" s="51"/>
      <c r="J2" s="51"/>
      <c r="K2" s="51"/>
      <c r="L2" s="51"/>
      <c r="M2" s="51"/>
    </row>
    <row r="3" spans="1:13">
      <c r="A3" s="163" t="s">
        <v>84</v>
      </c>
      <c r="B3" s="145"/>
      <c r="C3" s="164"/>
      <c r="D3" s="164"/>
      <c r="E3" s="164"/>
      <c r="F3" s="52"/>
      <c r="G3" s="52"/>
      <c r="H3" s="53"/>
      <c r="I3" s="51"/>
      <c r="J3" s="51"/>
      <c r="K3" s="51"/>
      <c r="L3" s="51"/>
      <c r="M3" s="51"/>
    </row>
    <row r="4" spans="1:13">
      <c r="A4" s="16"/>
      <c r="B4" s="15"/>
      <c r="C4" s="52"/>
      <c r="D4" s="52"/>
      <c r="E4" s="52"/>
      <c r="F4" s="52"/>
      <c r="G4" s="52"/>
      <c r="H4" s="53"/>
      <c r="I4" s="51"/>
      <c r="J4" s="51"/>
      <c r="K4" s="51"/>
      <c r="L4" s="51"/>
      <c r="M4" s="51"/>
    </row>
    <row r="5" spans="1:13">
      <c r="A5" s="165" t="s">
        <v>85</v>
      </c>
      <c r="B5" s="165"/>
      <c r="C5" s="82" t="s">
        <v>197</v>
      </c>
      <c r="D5" s="52"/>
      <c r="E5" s="52"/>
      <c r="F5" s="52"/>
      <c r="G5" s="52"/>
      <c r="H5" s="53"/>
      <c r="I5" s="51"/>
      <c r="J5" s="51"/>
      <c r="K5" s="51"/>
      <c r="L5" s="51"/>
      <c r="M5" s="51"/>
    </row>
    <row r="6" spans="1:13">
      <c r="A6" s="166" t="s">
        <v>88</v>
      </c>
      <c r="B6" s="167"/>
      <c r="C6" s="83">
        <f ca="1">TODAY()</f>
        <v>45941</v>
      </c>
      <c r="D6" s="52"/>
      <c r="E6" s="52"/>
      <c r="F6" s="52"/>
      <c r="G6" s="52"/>
      <c r="H6" s="53"/>
      <c r="I6" s="51"/>
      <c r="J6" s="51"/>
      <c r="K6" s="51"/>
      <c r="L6" s="51"/>
      <c r="M6" s="51"/>
    </row>
    <row r="7" spans="1:13">
      <c r="A7" s="168" t="s">
        <v>86</v>
      </c>
      <c r="B7" s="168"/>
      <c r="C7" s="149" t="s">
        <v>87</v>
      </c>
      <c r="D7" s="149"/>
      <c r="E7" s="52"/>
      <c r="F7" s="52"/>
      <c r="G7" s="52"/>
      <c r="H7" s="53"/>
      <c r="I7" s="51"/>
      <c r="J7" s="51"/>
      <c r="K7" s="51"/>
      <c r="L7" s="51"/>
      <c r="M7" s="51"/>
    </row>
    <row r="8" spans="1:13">
      <c r="A8" s="165" t="s">
        <v>89</v>
      </c>
      <c r="B8" s="165"/>
      <c r="C8" s="174"/>
      <c r="D8" s="174"/>
      <c r="E8" s="174"/>
      <c r="F8" s="52"/>
      <c r="G8" s="52"/>
      <c r="H8" s="53"/>
      <c r="I8" s="51"/>
      <c r="J8" s="51"/>
      <c r="K8" s="51"/>
      <c r="L8" s="51"/>
      <c r="M8" s="51"/>
    </row>
    <row r="9" spans="1:13">
      <c r="A9" s="16"/>
      <c r="B9" s="15"/>
      <c r="C9" s="52"/>
      <c r="D9" s="52"/>
      <c r="E9" s="52"/>
      <c r="F9" s="52"/>
      <c r="G9" s="52"/>
      <c r="H9" s="53"/>
      <c r="I9" s="51"/>
      <c r="J9" s="51"/>
      <c r="K9" s="51"/>
      <c r="L9" s="51"/>
      <c r="M9" s="51"/>
    </row>
    <row r="10" spans="1:13">
      <c r="A10" s="108" t="s">
        <v>199</v>
      </c>
      <c r="B10" s="108"/>
      <c r="C10" s="52"/>
      <c r="D10" s="52"/>
      <c r="E10" s="52"/>
      <c r="F10" s="52"/>
      <c r="G10" s="52"/>
      <c r="H10" s="53"/>
      <c r="I10" s="51"/>
      <c r="J10" s="51"/>
      <c r="K10" s="51"/>
      <c r="L10" s="51"/>
      <c r="M10" s="51"/>
    </row>
    <row r="11" spans="1:13">
      <c r="A11" s="169"/>
      <c r="B11" s="131"/>
      <c r="C11" s="131"/>
      <c r="D11" s="131"/>
      <c r="E11" s="132"/>
      <c r="F11" s="52"/>
      <c r="G11" s="52"/>
      <c r="H11" s="53"/>
      <c r="I11" s="51"/>
      <c r="J11" s="51"/>
      <c r="K11" s="51"/>
      <c r="L11" s="51"/>
      <c r="M11" s="56"/>
    </row>
    <row r="12" spans="1:13">
      <c r="A12" s="133"/>
      <c r="B12" s="134"/>
      <c r="C12" s="134"/>
      <c r="D12" s="134"/>
      <c r="E12" s="135"/>
      <c r="F12" s="52" t="s">
        <v>91</v>
      </c>
      <c r="G12" s="52"/>
      <c r="H12" s="53"/>
      <c r="I12" s="51"/>
      <c r="J12" s="51"/>
      <c r="K12" s="51"/>
      <c r="L12" s="51"/>
      <c r="M12" s="51"/>
    </row>
    <row r="13" spans="1:13">
      <c r="A13" s="133"/>
      <c r="B13" s="134"/>
      <c r="C13" s="134"/>
      <c r="D13" s="134"/>
      <c r="E13" s="135"/>
      <c r="F13" s="52"/>
      <c r="G13" s="52"/>
      <c r="H13" s="53"/>
      <c r="I13" s="51"/>
      <c r="J13" s="51"/>
      <c r="K13" s="51"/>
      <c r="L13" s="51"/>
      <c r="M13" s="51"/>
    </row>
    <row r="14" spans="1:13">
      <c r="A14" s="133"/>
      <c r="B14" s="134"/>
      <c r="C14" s="134"/>
      <c r="D14" s="134"/>
      <c r="E14" s="135"/>
      <c r="F14" s="52"/>
      <c r="G14" s="52"/>
      <c r="H14" s="53"/>
      <c r="I14" s="51"/>
      <c r="J14" s="51"/>
      <c r="K14" s="51"/>
      <c r="L14" s="51"/>
      <c r="M14" s="51"/>
    </row>
    <row r="15" spans="1:13">
      <c r="A15" s="136"/>
      <c r="B15" s="137"/>
      <c r="C15" s="137"/>
      <c r="D15" s="137"/>
      <c r="E15" s="138"/>
      <c r="F15" s="52"/>
      <c r="G15" s="52"/>
      <c r="H15" s="53"/>
      <c r="I15" s="51"/>
      <c r="J15" s="51"/>
      <c r="K15" s="51"/>
      <c r="L15" s="51"/>
      <c r="M15" s="51"/>
    </row>
    <row r="16" spans="1:13">
      <c r="A16" s="84"/>
      <c r="B16" s="85"/>
      <c r="C16" s="85"/>
      <c r="D16" s="85"/>
      <c r="E16" s="85"/>
      <c r="F16" s="52"/>
      <c r="G16" s="52"/>
      <c r="H16" s="53"/>
      <c r="I16" s="51"/>
      <c r="J16" s="51"/>
      <c r="K16" s="51"/>
      <c r="L16" s="51"/>
      <c r="M16" s="51"/>
    </row>
    <row r="17" spans="1:8">
      <c r="A17" s="18" t="s">
        <v>201</v>
      </c>
      <c r="B17" s="26"/>
      <c r="C17" s="26"/>
      <c r="D17" s="26"/>
      <c r="E17" s="26"/>
      <c r="F17" s="26"/>
      <c r="G17" s="26"/>
      <c r="H17" s="31"/>
    </row>
    <row r="18" spans="1:8" ht="26.85" customHeight="1">
      <c r="A18" s="175" t="s">
        <v>202</v>
      </c>
      <c r="B18" s="176"/>
      <c r="C18" s="175" t="s">
        <v>203</v>
      </c>
      <c r="D18" s="176"/>
      <c r="E18" s="19" t="s">
        <v>204</v>
      </c>
      <c r="F18" s="26"/>
      <c r="G18" s="26"/>
      <c r="H18" s="31"/>
    </row>
    <row r="19" spans="1:8">
      <c r="A19" s="169"/>
      <c r="B19" s="132"/>
      <c r="C19" s="169"/>
      <c r="D19" s="132"/>
      <c r="E19" s="170"/>
      <c r="F19" s="26"/>
      <c r="G19" s="26"/>
      <c r="H19" s="31"/>
    </row>
    <row r="20" spans="1:8">
      <c r="A20" s="133"/>
      <c r="B20" s="135"/>
      <c r="C20" s="133"/>
      <c r="D20" s="135"/>
      <c r="E20" s="171"/>
      <c r="F20" s="26"/>
      <c r="G20" s="26"/>
      <c r="H20" s="31"/>
    </row>
    <row r="21" spans="1:8">
      <c r="A21" s="133"/>
      <c r="B21" s="135"/>
      <c r="C21" s="133"/>
      <c r="D21" s="135"/>
      <c r="E21" s="171"/>
      <c r="F21" s="26"/>
      <c r="G21" s="26"/>
      <c r="H21" s="31"/>
    </row>
    <row r="22" spans="1:8">
      <c r="A22" s="136"/>
      <c r="B22" s="138"/>
      <c r="C22" s="136"/>
      <c r="D22" s="138"/>
      <c r="E22" s="172"/>
      <c r="F22" s="26"/>
      <c r="G22" s="26"/>
      <c r="H22" s="31"/>
    </row>
    <row r="23" spans="1:8">
      <c r="A23" s="57"/>
      <c r="B23" s="52"/>
      <c r="C23" s="52"/>
      <c r="D23" s="52"/>
      <c r="E23" s="52"/>
      <c r="F23" s="52"/>
      <c r="G23" s="52"/>
      <c r="H23" s="53"/>
    </row>
    <row r="24" spans="1:8">
      <c r="A24" s="173" t="s">
        <v>205</v>
      </c>
      <c r="B24" s="173"/>
      <c r="C24" s="52"/>
      <c r="D24" s="52"/>
      <c r="E24" s="52"/>
      <c r="F24" s="52"/>
      <c r="G24" s="52"/>
      <c r="H24" s="53"/>
    </row>
    <row r="25" spans="1:8">
      <c r="A25" s="76" t="s">
        <v>206</v>
      </c>
      <c r="B25" s="76" t="s">
        <v>207</v>
      </c>
      <c r="C25" s="86" t="s">
        <v>208</v>
      </c>
      <c r="D25" s="76" t="s">
        <v>209</v>
      </c>
      <c r="E25" s="86" t="s">
        <v>210</v>
      </c>
      <c r="F25" s="52"/>
      <c r="G25" s="52"/>
      <c r="H25" s="53"/>
    </row>
    <row r="26" spans="1:8" ht="16.5" customHeight="1">
      <c r="A26" s="87" t="s">
        <v>197</v>
      </c>
      <c r="B26" s="50"/>
      <c r="C26" s="50"/>
      <c r="D26" s="50"/>
      <c r="E26" s="50"/>
      <c r="F26" s="52"/>
      <c r="G26" s="52"/>
      <c r="H26" s="53"/>
    </row>
    <row r="27" spans="1:8">
      <c r="A27" s="87" t="s">
        <v>211</v>
      </c>
      <c r="B27" s="50"/>
      <c r="C27" s="50"/>
      <c r="D27" s="50"/>
      <c r="E27" s="50"/>
      <c r="F27" s="52"/>
      <c r="G27" s="52"/>
      <c r="H27" s="53"/>
    </row>
    <row r="28" spans="1:8" ht="16.5" customHeight="1">
      <c r="A28" s="87" t="s">
        <v>212</v>
      </c>
      <c r="B28" s="50"/>
      <c r="C28" s="50"/>
      <c r="D28" s="50"/>
      <c r="E28" s="50"/>
      <c r="F28" s="52"/>
      <c r="G28" s="52"/>
      <c r="H28" s="53"/>
    </row>
    <row r="29" spans="1:8">
      <c r="A29" s="87" t="s">
        <v>213</v>
      </c>
      <c r="B29" s="50"/>
      <c r="C29" s="50"/>
      <c r="D29" s="50"/>
      <c r="E29" s="50"/>
      <c r="F29" s="52"/>
      <c r="G29" s="52"/>
      <c r="H29" s="53"/>
    </row>
    <row r="30" spans="1:8">
      <c r="A30" s="88" t="s">
        <v>214</v>
      </c>
      <c r="B30" s="89"/>
      <c r="C30" s="52"/>
      <c r="D30" s="52"/>
      <c r="E30" s="52"/>
      <c r="F30" s="52"/>
      <c r="G30" s="52"/>
      <c r="H30" s="53"/>
    </row>
    <row r="31" spans="1:8">
      <c r="A31" s="57"/>
      <c r="B31" s="52"/>
      <c r="C31" s="52"/>
      <c r="D31" s="52"/>
      <c r="E31" s="52"/>
      <c r="F31" s="52"/>
      <c r="G31" s="52"/>
      <c r="H31" s="53"/>
    </row>
    <row r="32" spans="1:8">
      <c r="A32" s="139" t="s">
        <v>92</v>
      </c>
      <c r="B32" s="139"/>
      <c r="C32" s="139"/>
      <c r="D32" s="52"/>
      <c r="E32" s="52"/>
      <c r="F32" s="52"/>
      <c r="G32" s="52"/>
      <c r="H32" s="53"/>
    </row>
    <row r="33" spans="1:8">
      <c r="A33" s="123" t="s">
        <v>93</v>
      </c>
      <c r="B33" s="124"/>
      <c r="C33" s="68">
        <v>0</v>
      </c>
      <c r="D33" s="52"/>
      <c r="E33" s="52"/>
      <c r="F33" s="52"/>
      <c r="G33" s="52"/>
      <c r="H33" s="53"/>
    </row>
    <row r="34" spans="1:8" ht="29.1">
      <c r="A34" s="125" t="s">
        <v>94</v>
      </c>
      <c r="B34" s="126"/>
      <c r="C34" s="14" t="s">
        <v>95</v>
      </c>
      <c r="D34" s="20" t="s">
        <v>96</v>
      </c>
      <c r="E34" s="12" t="s">
        <v>97</v>
      </c>
      <c r="F34" s="179" t="s">
        <v>215</v>
      </c>
      <c r="G34" s="180"/>
      <c r="H34" s="181"/>
    </row>
    <row r="35" spans="1:8">
      <c r="A35" s="113" t="s">
        <v>98</v>
      </c>
      <c r="B35" s="114"/>
      <c r="C35" s="68">
        <v>0</v>
      </c>
      <c r="D35" s="68">
        <v>0</v>
      </c>
      <c r="E35" s="60">
        <f>IFERROR((C35+D35)/C33,0)</f>
        <v>0</v>
      </c>
      <c r="F35" s="182"/>
      <c r="G35" s="183"/>
      <c r="H35" s="184"/>
    </row>
    <row r="36" spans="1:8">
      <c r="A36" s="113" t="s">
        <v>99</v>
      </c>
      <c r="B36" s="114"/>
      <c r="C36" s="68">
        <v>0</v>
      </c>
      <c r="D36" s="68">
        <v>0</v>
      </c>
      <c r="E36" s="60">
        <f>IFERROR((C36+D36)/(C35+D35),0)</f>
        <v>0</v>
      </c>
      <c r="F36" s="182"/>
      <c r="G36" s="183"/>
      <c r="H36" s="184"/>
    </row>
    <row r="37" spans="1:8">
      <c r="A37" s="113" t="s">
        <v>100</v>
      </c>
      <c r="B37" s="114"/>
      <c r="C37" s="68">
        <v>0</v>
      </c>
      <c r="D37" s="68">
        <v>0</v>
      </c>
      <c r="E37" s="60">
        <f>IFERROR((C37+D37)/(C35+D35),0)</f>
        <v>0</v>
      </c>
      <c r="F37" s="182"/>
      <c r="G37" s="183"/>
      <c r="H37" s="184"/>
    </row>
    <row r="38" spans="1:8">
      <c r="A38" s="113" t="s">
        <v>101</v>
      </c>
      <c r="B38" s="114"/>
      <c r="C38" s="68">
        <v>0</v>
      </c>
      <c r="D38" s="68">
        <v>0</v>
      </c>
      <c r="E38" s="60">
        <f>IFERROR((D38+C38)/C33,0)</f>
        <v>0</v>
      </c>
      <c r="F38" s="182"/>
      <c r="G38" s="183"/>
      <c r="H38" s="184"/>
    </row>
    <row r="39" spans="1:8">
      <c r="A39" s="113" t="s">
        <v>102</v>
      </c>
      <c r="B39" s="114"/>
      <c r="C39" s="68">
        <v>0</v>
      </c>
      <c r="D39" s="68">
        <v>0</v>
      </c>
      <c r="E39" s="60">
        <f>IFERROR((D39+C39)/C33,0)</f>
        <v>0</v>
      </c>
      <c r="F39" s="182"/>
      <c r="G39" s="183"/>
      <c r="H39" s="184"/>
    </row>
    <row r="40" spans="1:8">
      <c r="A40" s="113" t="s">
        <v>103</v>
      </c>
      <c r="B40" s="114"/>
      <c r="C40" s="68">
        <v>0</v>
      </c>
      <c r="D40" s="68">
        <v>0</v>
      </c>
      <c r="E40" s="60">
        <f>IFERROR((D40+C40)/C33,0)</f>
        <v>0</v>
      </c>
      <c r="F40" s="182"/>
      <c r="G40" s="183"/>
      <c r="H40" s="184"/>
    </row>
    <row r="41" spans="1:8">
      <c r="A41" s="121" t="s">
        <v>104</v>
      </c>
      <c r="B41" s="122"/>
      <c r="C41" s="68">
        <v>0</v>
      </c>
      <c r="D41" s="68">
        <v>0</v>
      </c>
      <c r="E41" s="60">
        <f>IFERROR((C41+D41)/C33,0)</f>
        <v>0</v>
      </c>
      <c r="F41" s="182"/>
      <c r="G41" s="183"/>
      <c r="H41" s="184"/>
    </row>
    <row r="42" spans="1:8">
      <c r="A42" s="3" t="s">
        <v>105</v>
      </c>
      <c r="B42" s="61"/>
      <c r="C42" s="62"/>
      <c r="D42" s="62"/>
      <c r="E42" s="90"/>
      <c r="F42" s="52"/>
      <c r="G42" s="52"/>
      <c r="H42" s="53"/>
    </row>
    <row r="43" spans="1:8">
      <c r="A43" s="57"/>
      <c r="B43" s="52"/>
      <c r="C43" s="52"/>
      <c r="D43" s="52"/>
      <c r="E43" s="52"/>
      <c r="F43" s="52"/>
      <c r="G43" s="52"/>
      <c r="H43" s="53"/>
    </row>
    <row r="44" spans="1:8">
      <c r="A44" s="57"/>
      <c r="B44" s="52"/>
      <c r="C44" s="52"/>
      <c r="D44" s="52"/>
      <c r="E44" s="52"/>
      <c r="F44" s="52"/>
      <c r="G44" s="52"/>
      <c r="H44" s="53"/>
    </row>
    <row r="45" spans="1:8" ht="35.85" customHeight="1">
      <c r="A45" s="119" t="s">
        <v>106</v>
      </c>
      <c r="B45" s="120"/>
      <c r="C45" s="13" t="s">
        <v>107</v>
      </c>
      <c r="D45" s="13" t="s">
        <v>96</v>
      </c>
      <c r="E45" s="13" t="s">
        <v>108</v>
      </c>
      <c r="F45" s="12" t="s">
        <v>97</v>
      </c>
      <c r="G45" s="52"/>
      <c r="H45" s="53"/>
    </row>
    <row r="46" spans="1:8">
      <c r="A46" s="115" t="s">
        <v>109</v>
      </c>
      <c r="B46" s="116"/>
      <c r="C46" s="68">
        <v>0</v>
      </c>
      <c r="D46" s="68">
        <v>0</v>
      </c>
      <c r="E46" s="60">
        <f>IFERROR(D46/(D46+C46),0)</f>
        <v>0</v>
      </c>
      <c r="F46" s="64"/>
      <c r="G46" s="52"/>
      <c r="H46" s="53"/>
    </row>
    <row r="47" spans="1:8">
      <c r="A47" s="177" t="s">
        <v>216</v>
      </c>
      <c r="B47" s="178"/>
      <c r="C47" s="91">
        <v>0</v>
      </c>
      <c r="D47" s="91">
        <v>0</v>
      </c>
      <c r="E47" s="92">
        <f>IFERROR(D47/(D47+C47),0)</f>
        <v>0</v>
      </c>
      <c r="F47" s="64"/>
      <c r="G47" s="52"/>
      <c r="H47" s="53"/>
    </row>
    <row r="48" spans="1:8">
      <c r="A48" s="115" t="s">
        <v>98</v>
      </c>
      <c r="B48" s="116"/>
      <c r="C48" s="68">
        <v>0</v>
      </c>
      <c r="D48" s="68">
        <v>0</v>
      </c>
      <c r="E48" s="60">
        <f>IFERROR(D48/(D48+C48),0)</f>
        <v>0</v>
      </c>
      <c r="F48" s="65">
        <f>IFERROR((C48+D48)/(C46+D46),0)</f>
        <v>0</v>
      </c>
      <c r="G48" s="52"/>
      <c r="H48" s="53"/>
    </row>
    <row r="49" spans="1:8">
      <c r="A49" s="113" t="s">
        <v>99</v>
      </c>
      <c r="B49" s="114"/>
      <c r="C49" s="68">
        <v>0</v>
      </c>
      <c r="D49" s="68">
        <v>0</v>
      </c>
      <c r="E49" s="65">
        <f>IFERROR(D49/D48,0)</f>
        <v>0</v>
      </c>
      <c r="F49" s="65">
        <f>IFERROR((C49+D49)/(C48+D48),0)</f>
        <v>0</v>
      </c>
      <c r="G49" s="52"/>
      <c r="H49" s="53"/>
    </row>
    <row r="50" spans="1:8">
      <c r="A50" s="113" t="s">
        <v>100</v>
      </c>
      <c r="B50" s="114"/>
      <c r="C50" s="68">
        <v>0</v>
      </c>
      <c r="D50" s="68">
        <v>0</v>
      </c>
      <c r="E50" s="65">
        <f>IFERROR(D50/D48,0)</f>
        <v>0</v>
      </c>
      <c r="F50" s="65">
        <f>IFERROR((C50+D50)/(C48+D48),0)</f>
        <v>0</v>
      </c>
      <c r="G50" s="52"/>
      <c r="H50" s="53"/>
    </row>
    <row r="51" spans="1:8">
      <c r="A51" s="113" t="s">
        <v>102</v>
      </c>
      <c r="B51" s="114"/>
      <c r="C51" s="68">
        <v>0</v>
      </c>
      <c r="D51" s="68">
        <v>0</v>
      </c>
      <c r="E51" s="65">
        <f>IFERROR(D51/D46,0)</f>
        <v>0</v>
      </c>
      <c r="F51" s="65">
        <f>IFERROR((C51+D51)/(C46+D46),0)</f>
        <v>0</v>
      </c>
      <c r="G51" s="52"/>
      <c r="H51" s="53"/>
    </row>
    <row r="52" spans="1:8">
      <c r="A52" s="113" t="s">
        <v>101</v>
      </c>
      <c r="B52" s="114"/>
      <c r="C52" s="68">
        <v>0</v>
      </c>
      <c r="D52" s="68">
        <v>0</v>
      </c>
      <c r="E52" s="65">
        <f>IFERROR(D52/D46,0)</f>
        <v>0</v>
      </c>
      <c r="F52" s="65">
        <f>IFERROR((C52+D52)/(C46+D46),0)</f>
        <v>0</v>
      </c>
      <c r="G52" s="52"/>
      <c r="H52" s="53"/>
    </row>
    <row r="53" spans="1:8">
      <c r="A53" s="113" t="s">
        <v>103</v>
      </c>
      <c r="B53" s="114"/>
      <c r="C53" s="68">
        <v>0</v>
      </c>
      <c r="D53" s="68">
        <v>0</v>
      </c>
      <c r="E53" s="65">
        <f>IFERROR(D53/D46,0)</f>
        <v>0</v>
      </c>
      <c r="F53" s="65">
        <f>IFERROR((C53+D53)/(C46+D46),0)</f>
        <v>0</v>
      </c>
      <c r="G53" s="52"/>
      <c r="H53" s="53"/>
    </row>
    <row r="54" spans="1:8">
      <c r="A54" s="113" t="s">
        <v>104</v>
      </c>
      <c r="B54" s="114"/>
      <c r="C54" s="68">
        <v>0</v>
      </c>
      <c r="D54" s="68">
        <v>0</v>
      </c>
      <c r="E54" s="65">
        <f>IFERROR(D54/D46,0)</f>
        <v>0</v>
      </c>
      <c r="F54" s="65">
        <f>IFERROR((C54+D54)/(C46+D46),0)</f>
        <v>0</v>
      </c>
      <c r="G54" s="52"/>
      <c r="H54" s="53"/>
    </row>
    <row r="55" spans="1:8">
      <c r="A55" s="117" t="s">
        <v>110</v>
      </c>
      <c r="B55" s="118"/>
      <c r="C55" s="66">
        <f>IFERROR(C49/C46,0)</f>
        <v>0</v>
      </c>
      <c r="D55" s="66">
        <f>IFERROR(D49/D46,0)</f>
        <v>0</v>
      </c>
      <c r="E55" s="66">
        <f>IFERROR(D49/(C46+D46),0)</f>
        <v>0</v>
      </c>
      <c r="F55" s="66">
        <f>IFERROR((C49+D49)/(C46+D46),0)</f>
        <v>0</v>
      </c>
      <c r="G55" s="52"/>
      <c r="H55" s="53"/>
    </row>
    <row r="56" spans="1:8">
      <c r="A56" s="3" t="s">
        <v>105</v>
      </c>
      <c r="B56" s="52"/>
      <c r="C56" s="52"/>
      <c r="D56" s="52"/>
      <c r="E56" s="52"/>
      <c r="F56" s="52"/>
      <c r="G56" s="52"/>
      <c r="H56" s="53"/>
    </row>
    <row r="57" spans="1:8">
      <c r="A57" s="57"/>
      <c r="B57" s="52"/>
      <c r="C57" s="52"/>
      <c r="D57" s="52"/>
      <c r="E57" s="52"/>
      <c r="F57" s="52"/>
      <c r="G57" s="52"/>
      <c r="H57" s="53"/>
    </row>
    <row r="58" spans="1:8">
      <c r="A58" s="57"/>
      <c r="B58" s="52"/>
      <c r="C58" s="52"/>
      <c r="D58" s="52"/>
      <c r="E58" s="52"/>
      <c r="F58" s="52"/>
      <c r="G58" s="52"/>
      <c r="H58" s="53"/>
    </row>
    <row r="59" spans="1:8" ht="29.1">
      <c r="A59" s="119" t="s">
        <v>217</v>
      </c>
      <c r="B59" s="120"/>
      <c r="C59" s="13" t="s">
        <v>107</v>
      </c>
      <c r="D59" s="13" t="s">
        <v>96</v>
      </c>
      <c r="E59" s="13" t="s">
        <v>108</v>
      </c>
      <c r="F59" s="12" t="s">
        <v>97</v>
      </c>
      <c r="G59" s="52"/>
      <c r="H59" s="53"/>
    </row>
    <row r="60" spans="1:8" ht="16.5" customHeight="1">
      <c r="A60" s="115" t="s">
        <v>109</v>
      </c>
      <c r="B60" s="116"/>
      <c r="C60" s="68">
        <v>0</v>
      </c>
      <c r="D60" s="68">
        <v>0</v>
      </c>
      <c r="E60" s="60">
        <f>IFERROR(D60/(D60+C60),0)</f>
        <v>0</v>
      </c>
      <c r="F60" s="65">
        <f>IFERROR((C60+D60)/(C58),0)</f>
        <v>0</v>
      </c>
      <c r="G60" s="52"/>
      <c r="H60" s="53"/>
    </row>
    <row r="61" spans="1:8">
      <c r="A61" s="115" t="s">
        <v>98</v>
      </c>
      <c r="B61" s="116"/>
      <c r="C61" s="68">
        <v>0</v>
      </c>
      <c r="D61" s="68">
        <v>0</v>
      </c>
      <c r="E61" s="60">
        <f>IFERROR(D61/(D61+C61),0)</f>
        <v>0</v>
      </c>
      <c r="F61" s="65">
        <f>IFERROR((C61+D61)/(C60+D60),0)</f>
        <v>0</v>
      </c>
      <c r="G61" s="52"/>
      <c r="H61" s="53"/>
    </row>
    <row r="62" spans="1:8">
      <c r="A62" s="113" t="s">
        <v>99</v>
      </c>
      <c r="B62" s="114"/>
      <c r="C62" s="68">
        <v>0</v>
      </c>
      <c r="D62" s="68">
        <v>0</v>
      </c>
      <c r="E62" s="65">
        <f>IFERROR(D62/D61,0)</f>
        <v>0</v>
      </c>
      <c r="F62" s="65">
        <f>IFERROR((C62+D62)/(C61+D61),0)</f>
        <v>0</v>
      </c>
      <c r="G62" s="52"/>
      <c r="H62" s="53"/>
    </row>
    <row r="63" spans="1:8">
      <c r="A63" s="113" t="s">
        <v>100</v>
      </c>
      <c r="B63" s="114"/>
      <c r="C63" s="68">
        <v>0</v>
      </c>
      <c r="D63" s="68">
        <v>0</v>
      </c>
      <c r="E63" s="65">
        <f>IFERROR(D63/D61,0)</f>
        <v>0</v>
      </c>
      <c r="F63" s="65">
        <f>IFERROR((C63+D63)/(C61+D61),0)</f>
        <v>0</v>
      </c>
      <c r="G63" s="52"/>
      <c r="H63" s="53"/>
    </row>
    <row r="64" spans="1:8" ht="16.5" customHeight="1">
      <c r="A64" s="113" t="s">
        <v>102</v>
      </c>
      <c r="B64" s="114"/>
      <c r="C64" s="68">
        <v>0</v>
      </c>
      <c r="D64" s="68">
        <v>0</v>
      </c>
      <c r="E64" s="65">
        <f>IFERROR(D64/D60,0)</f>
        <v>0</v>
      </c>
      <c r="F64" s="65">
        <f>IFERROR((C64+D64)/(C60+D60),0)</f>
        <v>0</v>
      </c>
      <c r="G64" s="52"/>
      <c r="H64" s="53"/>
    </row>
    <row r="65" spans="1:8">
      <c r="A65" s="113" t="s">
        <v>101</v>
      </c>
      <c r="B65" s="114"/>
      <c r="C65" s="68">
        <v>0</v>
      </c>
      <c r="D65" s="68">
        <v>0</v>
      </c>
      <c r="E65" s="65">
        <f>IFERROR(D65/D60,0)</f>
        <v>0</v>
      </c>
      <c r="F65" s="65">
        <f>IFERROR((C65+D65)/(C60+D60),0)</f>
        <v>0</v>
      </c>
      <c r="G65" s="52"/>
      <c r="H65" s="53"/>
    </row>
    <row r="66" spans="1:8">
      <c r="A66" s="113" t="s">
        <v>103</v>
      </c>
      <c r="B66" s="114"/>
      <c r="C66" s="68">
        <v>0</v>
      </c>
      <c r="D66" s="68">
        <v>0</v>
      </c>
      <c r="E66" s="65">
        <f>IFERROR(D66/D60,0)</f>
        <v>0</v>
      </c>
      <c r="F66" s="65">
        <f>IFERROR((C66+D66)/(C60+D60),0)</f>
        <v>0</v>
      </c>
      <c r="G66" s="52"/>
      <c r="H66" s="53"/>
    </row>
    <row r="67" spans="1:8" ht="16.5" customHeight="1">
      <c r="A67" s="113" t="s">
        <v>104</v>
      </c>
      <c r="B67" s="114"/>
      <c r="C67" s="68">
        <v>0</v>
      </c>
      <c r="D67" s="68">
        <v>0</v>
      </c>
      <c r="E67" s="65">
        <f>IFERROR(D67/D60,0)</f>
        <v>0</v>
      </c>
      <c r="F67" s="65">
        <f>IFERROR((C67+D67)/(C60+D60),0)</f>
        <v>0</v>
      </c>
      <c r="G67" s="52"/>
      <c r="H67" s="53"/>
    </row>
    <row r="68" spans="1:8">
      <c r="A68" s="117" t="s">
        <v>110</v>
      </c>
      <c r="B68" s="118"/>
      <c r="C68" s="66">
        <f>IFERROR(C62/C60,0)</f>
        <v>0</v>
      </c>
      <c r="D68" s="66">
        <f>IFERROR(D62/D60,0)</f>
        <v>0</v>
      </c>
      <c r="E68" s="66">
        <f>IFERROR(D62/(C60+D60),0)</f>
        <v>0</v>
      </c>
      <c r="F68" s="66">
        <f>IFERROR((C62+D62)/(C60+D60),0)</f>
        <v>0</v>
      </c>
      <c r="G68" s="52"/>
      <c r="H68" s="53"/>
    </row>
    <row r="69" spans="1:8">
      <c r="A69" s="3" t="s">
        <v>105</v>
      </c>
      <c r="B69" s="52"/>
      <c r="C69" s="52"/>
      <c r="D69" s="52"/>
      <c r="E69" s="52"/>
      <c r="F69" s="52"/>
      <c r="G69" s="52"/>
      <c r="H69" s="53"/>
    </row>
    <row r="70" spans="1:8">
      <c r="A70" s="57"/>
      <c r="B70" s="52"/>
      <c r="C70" s="52"/>
      <c r="D70" s="52"/>
      <c r="E70" s="52"/>
      <c r="F70" s="52"/>
      <c r="G70" s="52"/>
      <c r="H70" s="53"/>
    </row>
    <row r="71" spans="1:8" ht="16.5" customHeight="1">
      <c r="A71" s="57"/>
      <c r="B71" s="52"/>
      <c r="C71" s="52"/>
      <c r="D71" s="52"/>
      <c r="E71" s="52"/>
      <c r="F71" s="52"/>
      <c r="G71" s="52"/>
      <c r="H71" s="53"/>
    </row>
    <row r="72" spans="1:8">
      <c r="A72" s="108" t="s">
        <v>112</v>
      </c>
      <c r="B72" s="108"/>
      <c r="C72" s="52"/>
      <c r="D72" s="52"/>
      <c r="E72" s="52"/>
      <c r="F72" s="52"/>
      <c r="G72" s="52"/>
      <c r="H72" s="53"/>
    </row>
    <row r="73" spans="1:8" ht="16.5" customHeight="1">
      <c r="A73" s="109" t="s">
        <v>113</v>
      </c>
      <c r="B73" s="110"/>
      <c r="C73" s="52"/>
      <c r="D73" s="52"/>
      <c r="E73" s="52"/>
      <c r="F73" s="52"/>
      <c r="G73" s="52"/>
      <c r="H73" s="53"/>
    </row>
    <row r="74" spans="1:8">
      <c r="A74" s="111"/>
      <c r="B74" s="112"/>
      <c r="C74" s="107" t="s">
        <v>114</v>
      </c>
      <c r="D74" s="107"/>
      <c r="E74" s="107" t="s">
        <v>115</v>
      </c>
      <c r="F74" s="107"/>
      <c r="G74" s="107" t="s">
        <v>116</v>
      </c>
      <c r="H74" s="107"/>
    </row>
    <row r="75" spans="1:8">
      <c r="A75" s="106" t="s">
        <v>117</v>
      </c>
      <c r="B75" s="106"/>
      <c r="C75" s="103">
        <v>0</v>
      </c>
      <c r="D75" s="104"/>
      <c r="E75" s="103">
        <v>0</v>
      </c>
      <c r="F75" s="104"/>
      <c r="G75" s="103">
        <v>0</v>
      </c>
      <c r="H75" s="104"/>
    </row>
    <row r="76" spans="1:8">
      <c r="A76" s="106" t="s">
        <v>118</v>
      </c>
      <c r="B76" s="106"/>
      <c r="C76" s="103">
        <v>0</v>
      </c>
      <c r="D76" s="104"/>
      <c r="E76" s="103">
        <v>0</v>
      </c>
      <c r="F76" s="104"/>
      <c r="G76" s="103">
        <v>0</v>
      </c>
      <c r="H76" s="104"/>
    </row>
    <row r="77" spans="1:8">
      <c r="A77" s="106" t="s">
        <v>119</v>
      </c>
      <c r="B77" s="106"/>
      <c r="C77" s="103">
        <v>0</v>
      </c>
      <c r="D77" s="104"/>
      <c r="E77" s="103">
        <v>0</v>
      </c>
      <c r="F77" s="104"/>
      <c r="G77" s="103">
        <v>0</v>
      </c>
      <c r="H77" s="104"/>
    </row>
    <row r="78" spans="1:8">
      <c r="A78" s="106" t="s">
        <v>120</v>
      </c>
      <c r="B78" s="106"/>
      <c r="C78" s="103">
        <v>0</v>
      </c>
      <c r="D78" s="104"/>
      <c r="E78" s="103">
        <v>0</v>
      </c>
      <c r="F78" s="104"/>
      <c r="G78" s="103">
        <v>0</v>
      </c>
      <c r="H78" s="104"/>
    </row>
    <row r="79" spans="1:8">
      <c r="A79" s="106" t="s">
        <v>121</v>
      </c>
      <c r="B79" s="106"/>
      <c r="C79" s="103">
        <v>0</v>
      </c>
      <c r="D79" s="104"/>
      <c r="E79" s="103">
        <v>0</v>
      </c>
      <c r="F79" s="104"/>
      <c r="G79" s="103">
        <v>0</v>
      </c>
      <c r="H79" s="104"/>
    </row>
    <row r="80" spans="1:8" ht="16.5" customHeight="1">
      <c r="A80" s="106" t="s">
        <v>122</v>
      </c>
      <c r="B80" s="106"/>
      <c r="C80" s="103">
        <v>0</v>
      </c>
      <c r="D80" s="104"/>
      <c r="E80" s="103">
        <v>0</v>
      </c>
      <c r="F80" s="104"/>
      <c r="G80" s="103">
        <v>0</v>
      </c>
      <c r="H80" s="104"/>
    </row>
    <row r="81" spans="1:8">
      <c r="A81" s="106" t="s">
        <v>123</v>
      </c>
      <c r="B81" s="106"/>
      <c r="C81" s="103">
        <v>0</v>
      </c>
      <c r="D81" s="104"/>
      <c r="E81" s="103">
        <v>0</v>
      </c>
      <c r="F81" s="104"/>
      <c r="G81" s="103">
        <v>0</v>
      </c>
      <c r="H81" s="104"/>
    </row>
    <row r="82" spans="1:8">
      <c r="A82" s="106" t="s">
        <v>124</v>
      </c>
      <c r="B82" s="106"/>
      <c r="C82" s="103">
        <v>0</v>
      </c>
      <c r="D82" s="104"/>
      <c r="E82" s="103">
        <v>0</v>
      </c>
      <c r="F82" s="104"/>
      <c r="G82" s="103">
        <v>0</v>
      </c>
      <c r="H82" s="104"/>
    </row>
    <row r="83" spans="1:8">
      <c r="A83" s="106" t="s">
        <v>125</v>
      </c>
      <c r="B83" s="106"/>
      <c r="C83" s="103">
        <v>0</v>
      </c>
      <c r="D83" s="104"/>
      <c r="E83" s="103">
        <v>0</v>
      </c>
      <c r="F83" s="104"/>
      <c r="G83" s="103">
        <v>0</v>
      </c>
      <c r="H83" s="104"/>
    </row>
    <row r="84" spans="1:8">
      <c r="A84" s="106" t="s">
        <v>126</v>
      </c>
      <c r="B84" s="106"/>
      <c r="C84" s="103">
        <v>0</v>
      </c>
      <c r="D84" s="104"/>
      <c r="E84" s="103">
        <v>0</v>
      </c>
      <c r="F84" s="104"/>
      <c r="G84" s="103">
        <v>0</v>
      </c>
      <c r="H84" s="104"/>
    </row>
    <row r="85" spans="1:8" ht="16.5" customHeight="1">
      <c r="A85" s="106" t="s">
        <v>127</v>
      </c>
      <c r="B85" s="106"/>
      <c r="C85" s="103">
        <v>0</v>
      </c>
      <c r="D85" s="104"/>
      <c r="E85" s="103">
        <v>0</v>
      </c>
      <c r="F85" s="104"/>
      <c r="G85" s="103">
        <v>0</v>
      </c>
      <c r="H85" s="104"/>
    </row>
    <row r="86" spans="1:8">
      <c r="A86" s="106" t="s">
        <v>128</v>
      </c>
      <c r="B86" s="106"/>
      <c r="C86" s="103">
        <v>0</v>
      </c>
      <c r="D86" s="104"/>
      <c r="E86" s="103">
        <v>0</v>
      </c>
      <c r="F86" s="104"/>
      <c r="G86" s="103">
        <v>0</v>
      </c>
      <c r="H86" s="104"/>
    </row>
    <row r="87" spans="1:8">
      <c r="A87" s="106" t="s">
        <v>129</v>
      </c>
      <c r="B87" s="106"/>
      <c r="C87" s="103">
        <v>0</v>
      </c>
      <c r="D87" s="104"/>
      <c r="E87" s="103">
        <v>0</v>
      </c>
      <c r="F87" s="104"/>
      <c r="G87" s="103">
        <v>0</v>
      </c>
      <c r="H87" s="104"/>
    </row>
    <row r="88" spans="1:8">
      <c r="A88" s="106" t="s">
        <v>130</v>
      </c>
      <c r="B88" s="106"/>
      <c r="C88" s="103">
        <v>0</v>
      </c>
      <c r="D88" s="104"/>
      <c r="E88" s="103">
        <v>0</v>
      </c>
      <c r="F88" s="104"/>
      <c r="G88" s="103">
        <v>0</v>
      </c>
      <c r="H88" s="104"/>
    </row>
    <row r="89" spans="1:8">
      <c r="A89" s="106" t="s">
        <v>131</v>
      </c>
      <c r="B89" s="106"/>
      <c r="C89" s="103">
        <v>0</v>
      </c>
      <c r="D89" s="104"/>
      <c r="E89" s="103">
        <v>0</v>
      </c>
      <c r="F89" s="104"/>
      <c r="G89" s="103">
        <v>0</v>
      </c>
      <c r="H89" s="104"/>
    </row>
    <row r="90" spans="1:8">
      <c r="A90" s="106" t="s">
        <v>132</v>
      </c>
      <c r="B90" s="106"/>
      <c r="C90" s="103">
        <v>0</v>
      </c>
      <c r="D90" s="104"/>
      <c r="E90" s="103">
        <v>0</v>
      </c>
      <c r="F90" s="104"/>
      <c r="G90" s="103">
        <v>0</v>
      </c>
      <c r="H90" s="104"/>
    </row>
    <row r="91" spans="1:8">
      <c r="A91" s="106" t="s">
        <v>133</v>
      </c>
      <c r="B91" s="106"/>
      <c r="C91" s="103">
        <v>0</v>
      </c>
      <c r="D91" s="104"/>
      <c r="E91" s="103">
        <v>0</v>
      </c>
      <c r="F91" s="104"/>
      <c r="G91" s="103">
        <v>0</v>
      </c>
      <c r="H91" s="104"/>
    </row>
    <row r="92" spans="1:8">
      <c r="A92" s="106" t="s">
        <v>134</v>
      </c>
      <c r="B92" s="106"/>
      <c r="C92" s="103">
        <v>0</v>
      </c>
      <c r="D92" s="104"/>
      <c r="E92" s="103">
        <v>0</v>
      </c>
      <c r="F92" s="104"/>
      <c r="G92" s="103">
        <v>0</v>
      </c>
      <c r="H92" s="104"/>
    </row>
    <row r="93" spans="1:8">
      <c r="A93" s="106" t="s">
        <v>135</v>
      </c>
      <c r="B93" s="106"/>
      <c r="C93" s="103">
        <v>0</v>
      </c>
      <c r="D93" s="104"/>
      <c r="E93" s="103">
        <v>0</v>
      </c>
      <c r="F93" s="104"/>
      <c r="G93" s="103">
        <v>0</v>
      </c>
      <c r="H93" s="104"/>
    </row>
    <row r="94" spans="1:8">
      <c r="A94" s="157" t="s">
        <v>136</v>
      </c>
      <c r="B94" s="158"/>
      <c r="C94" s="152">
        <f>SUM(C75:D93)</f>
        <v>0</v>
      </c>
      <c r="D94" s="152"/>
      <c r="E94" s="152">
        <f>SUM(E75:F93)</f>
        <v>0</v>
      </c>
      <c r="F94" s="152"/>
      <c r="G94" s="152">
        <f>SUM(G75:H93)</f>
        <v>0</v>
      </c>
      <c r="H94" s="152"/>
    </row>
    <row r="95" spans="1:8">
      <c r="A95" s="57"/>
      <c r="B95" s="52"/>
      <c r="C95" s="52"/>
      <c r="D95" s="52"/>
      <c r="E95" s="52"/>
      <c r="F95" s="52"/>
      <c r="G95" s="52"/>
      <c r="H95" s="53"/>
    </row>
    <row r="96" spans="1:8">
      <c r="A96" s="57"/>
      <c r="B96" s="52"/>
      <c r="C96" s="52"/>
      <c r="D96" s="52"/>
      <c r="E96" s="52"/>
      <c r="F96" s="52"/>
      <c r="G96" s="52"/>
      <c r="H96" s="53"/>
    </row>
    <row r="97" spans="1:9">
      <c r="A97" s="153" t="s">
        <v>137</v>
      </c>
      <c r="B97" s="153"/>
      <c r="C97" s="153"/>
      <c r="D97" s="52"/>
      <c r="E97" s="52"/>
      <c r="F97" s="52"/>
      <c r="G97" s="52"/>
      <c r="H97" s="53"/>
      <c r="I97" s="51"/>
    </row>
    <row r="98" spans="1:9">
      <c r="A98" s="157" t="s">
        <v>138</v>
      </c>
      <c r="B98" s="158"/>
      <c r="C98" s="42" t="s">
        <v>139</v>
      </c>
      <c r="D98" s="52"/>
      <c r="E98" s="52"/>
      <c r="F98" s="52"/>
      <c r="G98" s="52"/>
      <c r="H98" s="53"/>
      <c r="I98" s="51"/>
    </row>
    <row r="99" spans="1:9">
      <c r="A99" s="121" t="s">
        <v>140</v>
      </c>
      <c r="B99" s="122"/>
      <c r="C99" s="68">
        <v>0</v>
      </c>
      <c r="D99" s="52"/>
      <c r="E99" s="52"/>
      <c r="F99" s="52"/>
      <c r="G99" s="52"/>
      <c r="H99" s="53"/>
      <c r="I99" s="51"/>
    </row>
    <row r="100" spans="1:9">
      <c r="A100" s="113" t="s">
        <v>141</v>
      </c>
      <c r="B100" s="114"/>
      <c r="C100" s="68">
        <v>0</v>
      </c>
      <c r="D100" s="52"/>
      <c r="E100" s="52"/>
      <c r="F100" s="52"/>
      <c r="G100" s="52"/>
      <c r="H100" s="53"/>
      <c r="I100" s="51"/>
    </row>
    <row r="101" spans="1:9">
      <c r="A101" s="113" t="s">
        <v>142</v>
      </c>
      <c r="B101" s="114"/>
      <c r="C101" s="68">
        <v>0</v>
      </c>
      <c r="D101" s="52"/>
      <c r="E101" s="52"/>
      <c r="F101" s="52"/>
      <c r="G101" s="52"/>
      <c r="H101" s="53"/>
      <c r="I101" s="51"/>
    </row>
    <row r="102" spans="1:9">
      <c r="A102" s="57"/>
      <c r="B102" s="52"/>
      <c r="C102" s="52"/>
      <c r="D102" s="52"/>
      <c r="E102" s="52"/>
      <c r="F102" s="52"/>
      <c r="G102" s="52"/>
      <c r="H102" s="53"/>
      <c r="I102" s="51"/>
    </row>
    <row r="103" spans="1:9">
      <c r="A103" s="57"/>
      <c r="B103" s="52"/>
      <c r="C103" s="52"/>
      <c r="D103" s="52"/>
      <c r="E103" s="52"/>
      <c r="F103" s="52"/>
      <c r="G103" s="52"/>
      <c r="H103" s="53"/>
      <c r="I103" s="67"/>
    </row>
    <row r="104" spans="1:9">
      <c r="A104" s="153" t="s">
        <v>143</v>
      </c>
      <c r="B104" s="153"/>
      <c r="C104" s="154"/>
      <c r="D104" s="154"/>
      <c r="E104" s="52"/>
      <c r="F104" s="52"/>
      <c r="G104" s="52"/>
      <c r="H104" s="53"/>
      <c r="I104" s="51"/>
    </row>
    <row r="105" spans="1:9" ht="29.1">
      <c r="A105" s="27" t="s">
        <v>144</v>
      </c>
      <c r="B105" s="11" t="s">
        <v>145</v>
      </c>
      <c r="C105" s="11" t="s">
        <v>146</v>
      </c>
      <c r="D105" s="11" t="s">
        <v>147</v>
      </c>
      <c r="E105" s="11" t="s">
        <v>148</v>
      </c>
      <c r="F105" s="11" t="s">
        <v>149</v>
      </c>
      <c r="G105" s="26"/>
      <c r="H105" s="31"/>
      <c r="I105" s="51"/>
    </row>
    <row r="106" spans="1:9">
      <c r="A106" s="69" t="s">
        <v>150</v>
      </c>
      <c r="B106" s="70">
        <v>0</v>
      </c>
      <c r="C106" s="70">
        <v>0</v>
      </c>
      <c r="D106" s="70">
        <v>0</v>
      </c>
      <c r="E106" s="70">
        <v>0</v>
      </c>
      <c r="F106" s="72">
        <f>SUM(B106:E106)</f>
        <v>0</v>
      </c>
      <c r="G106" s="26"/>
      <c r="H106" s="31"/>
      <c r="I106" s="51"/>
    </row>
    <row r="107" spans="1:9">
      <c r="A107" s="69" t="s">
        <v>151</v>
      </c>
      <c r="B107" s="70">
        <v>0</v>
      </c>
      <c r="C107" s="70">
        <v>0</v>
      </c>
      <c r="D107" s="70">
        <v>0</v>
      </c>
      <c r="E107" s="70">
        <v>0</v>
      </c>
      <c r="F107" s="72">
        <f t="shared" ref="F107:F115" si="0">SUM(B107:E107)</f>
        <v>0</v>
      </c>
      <c r="G107" s="26"/>
      <c r="H107" s="31"/>
      <c r="I107" s="51"/>
    </row>
    <row r="108" spans="1:9">
      <c r="A108" s="69" t="s">
        <v>152</v>
      </c>
      <c r="B108" s="70">
        <v>0</v>
      </c>
      <c r="C108" s="70">
        <v>0</v>
      </c>
      <c r="D108" s="70">
        <v>0</v>
      </c>
      <c r="E108" s="70">
        <v>0</v>
      </c>
      <c r="F108" s="72">
        <f t="shared" si="0"/>
        <v>0</v>
      </c>
      <c r="G108" s="26"/>
      <c r="H108" s="31"/>
      <c r="I108" s="51"/>
    </row>
    <row r="109" spans="1:9">
      <c r="A109" s="69" t="s">
        <v>153</v>
      </c>
      <c r="B109" s="70">
        <v>0</v>
      </c>
      <c r="C109" s="70">
        <v>0</v>
      </c>
      <c r="D109" s="70">
        <v>0</v>
      </c>
      <c r="E109" s="70">
        <v>0</v>
      </c>
      <c r="F109" s="72">
        <f t="shared" si="0"/>
        <v>0</v>
      </c>
      <c r="G109" s="26"/>
      <c r="H109" s="31"/>
      <c r="I109" s="51"/>
    </row>
    <row r="110" spans="1:9">
      <c r="A110" s="69" t="s">
        <v>154</v>
      </c>
      <c r="B110" s="70">
        <v>0</v>
      </c>
      <c r="C110" s="70">
        <v>0</v>
      </c>
      <c r="D110" s="70">
        <v>0</v>
      </c>
      <c r="E110" s="70">
        <v>0</v>
      </c>
      <c r="F110" s="72">
        <f t="shared" si="0"/>
        <v>0</v>
      </c>
      <c r="G110" s="26"/>
      <c r="H110" s="31"/>
      <c r="I110" s="51"/>
    </row>
    <row r="111" spans="1:9">
      <c r="A111" s="69" t="s">
        <v>155</v>
      </c>
      <c r="B111" s="70">
        <v>0</v>
      </c>
      <c r="C111" s="70">
        <v>0</v>
      </c>
      <c r="D111" s="70">
        <v>0</v>
      </c>
      <c r="E111" s="70">
        <v>0</v>
      </c>
      <c r="F111" s="72">
        <f t="shared" si="0"/>
        <v>0</v>
      </c>
      <c r="G111" s="26"/>
      <c r="H111" s="31"/>
      <c r="I111" s="51"/>
    </row>
    <row r="112" spans="1:9">
      <c r="A112" s="69" t="s">
        <v>156</v>
      </c>
      <c r="B112" s="70">
        <v>0</v>
      </c>
      <c r="C112" s="70">
        <v>0</v>
      </c>
      <c r="D112" s="70">
        <v>0</v>
      </c>
      <c r="E112" s="70">
        <v>0</v>
      </c>
      <c r="F112" s="72">
        <f t="shared" si="0"/>
        <v>0</v>
      </c>
      <c r="G112" s="26"/>
      <c r="H112" s="31"/>
      <c r="I112" s="51"/>
    </row>
    <row r="113" spans="1:8">
      <c r="A113" s="69" t="s">
        <v>157</v>
      </c>
      <c r="B113" s="70">
        <v>0</v>
      </c>
      <c r="C113" s="70">
        <v>0</v>
      </c>
      <c r="D113" s="70">
        <v>0</v>
      </c>
      <c r="E113" s="70">
        <v>0</v>
      </c>
      <c r="F113" s="72">
        <f t="shared" si="0"/>
        <v>0</v>
      </c>
      <c r="G113" s="26"/>
      <c r="H113" s="31"/>
    </row>
    <row r="114" spans="1:8">
      <c r="A114" s="69" t="s">
        <v>141</v>
      </c>
      <c r="B114" s="70">
        <v>0</v>
      </c>
      <c r="C114" s="70">
        <v>0</v>
      </c>
      <c r="D114" s="70">
        <v>0</v>
      </c>
      <c r="E114" s="70">
        <v>0</v>
      </c>
      <c r="F114" s="72">
        <f t="shared" si="0"/>
        <v>0</v>
      </c>
      <c r="G114" s="26"/>
      <c r="H114" s="31"/>
    </row>
    <row r="115" spans="1:8">
      <c r="A115" s="69" t="s">
        <v>149</v>
      </c>
      <c r="B115" s="72">
        <f>SUM(B106:B114)</f>
        <v>0</v>
      </c>
      <c r="C115" s="72">
        <f t="shared" ref="C115:E115" si="1">SUM(C106:C114)</f>
        <v>0</v>
      </c>
      <c r="D115" s="72">
        <f t="shared" si="1"/>
        <v>0</v>
      </c>
      <c r="E115" s="72">
        <f t="shared" si="1"/>
        <v>0</v>
      </c>
      <c r="F115" s="72">
        <f t="shared" si="0"/>
        <v>0</v>
      </c>
      <c r="G115" s="26"/>
      <c r="H115" s="31"/>
    </row>
    <row r="116" spans="1:8">
      <c r="A116" s="5"/>
      <c r="B116" s="26"/>
      <c r="C116" s="26"/>
      <c r="D116" s="26"/>
      <c r="E116" s="26"/>
      <c r="F116" s="26"/>
      <c r="G116" s="26"/>
      <c r="H116" s="31"/>
    </row>
    <row r="117" spans="1:8">
      <c r="A117" s="5"/>
      <c r="B117" s="26"/>
      <c r="C117" s="26"/>
      <c r="D117" s="26"/>
      <c r="E117" s="26"/>
      <c r="F117" s="26"/>
      <c r="G117" s="26"/>
      <c r="H117" s="31"/>
    </row>
    <row r="118" spans="1:8">
      <c r="A118" s="155" t="s">
        <v>158</v>
      </c>
      <c r="B118" s="156"/>
      <c r="C118" s="26"/>
      <c r="D118" s="26"/>
      <c r="E118" s="26"/>
      <c r="F118" s="26"/>
      <c r="G118" s="26"/>
      <c r="H118" s="31"/>
    </row>
    <row r="119" spans="1:8">
      <c r="A119" s="10" t="s">
        <v>159</v>
      </c>
      <c r="B119" s="10" t="s">
        <v>160</v>
      </c>
      <c r="C119" s="26"/>
      <c r="D119" s="26"/>
      <c r="E119" s="26"/>
      <c r="F119" s="26"/>
      <c r="G119" s="26"/>
      <c r="H119" s="31"/>
    </row>
    <row r="120" spans="1:8">
      <c r="A120" s="73">
        <v>0</v>
      </c>
      <c r="B120" s="73">
        <v>0</v>
      </c>
      <c r="C120" s="26"/>
      <c r="D120" s="26"/>
      <c r="E120" s="26"/>
      <c r="F120" s="26"/>
      <c r="G120" s="26"/>
      <c r="H120" s="31"/>
    </row>
    <row r="121" spans="1:8">
      <c r="A121" s="74"/>
      <c r="B121" s="74"/>
      <c r="C121" s="26"/>
      <c r="D121" s="26"/>
      <c r="E121" s="26"/>
      <c r="F121" s="26"/>
      <c r="G121" s="26"/>
      <c r="H121" s="31"/>
    </row>
    <row r="122" spans="1:8">
      <c r="A122" s="74"/>
      <c r="B122" s="74"/>
      <c r="C122" s="26"/>
      <c r="D122" s="26"/>
      <c r="E122" s="26"/>
      <c r="F122" s="26"/>
      <c r="G122" s="26"/>
      <c r="H122" s="31"/>
    </row>
    <row r="123" spans="1:8">
      <c r="A123" s="74"/>
      <c r="B123" s="74"/>
      <c r="C123" s="26"/>
      <c r="D123" s="26"/>
      <c r="E123" s="26"/>
      <c r="F123" s="26"/>
      <c r="G123" s="26"/>
      <c r="H123" s="31"/>
    </row>
    <row r="124" spans="1:8">
      <c r="A124" s="74"/>
      <c r="B124" s="74"/>
      <c r="C124" s="26"/>
      <c r="D124" s="26"/>
      <c r="E124" s="26"/>
      <c r="F124" s="26"/>
      <c r="G124" s="26"/>
      <c r="H124" s="31"/>
    </row>
    <row r="125" spans="1:8">
      <c r="A125" s="5"/>
      <c r="B125" s="26"/>
      <c r="C125" s="26"/>
      <c r="D125" s="26"/>
      <c r="E125" s="26"/>
      <c r="F125" s="26"/>
      <c r="G125" s="26"/>
      <c r="H125" s="31"/>
    </row>
    <row r="126" spans="1:8">
      <c r="A126" s="5"/>
      <c r="B126" s="26"/>
      <c r="C126" s="26"/>
      <c r="D126" s="26"/>
      <c r="E126" s="26"/>
      <c r="F126" s="26"/>
      <c r="G126" s="26"/>
      <c r="H126" s="31"/>
    </row>
    <row r="127" spans="1:8">
      <c r="A127" s="153" t="s">
        <v>161</v>
      </c>
      <c r="B127" s="153"/>
      <c r="C127" s="153"/>
      <c r="D127" s="153"/>
      <c r="E127" s="52"/>
      <c r="F127" s="52"/>
      <c r="G127" s="52"/>
      <c r="H127" s="53"/>
    </row>
    <row r="128" spans="1:8">
      <c r="A128" s="185" t="s">
        <v>162</v>
      </c>
      <c r="B128" s="186"/>
      <c r="C128" s="42" t="s">
        <v>11</v>
      </c>
      <c r="D128" s="42" t="s">
        <v>12</v>
      </c>
      <c r="E128" s="42" t="s">
        <v>13</v>
      </c>
      <c r="F128" s="42" t="s">
        <v>163</v>
      </c>
      <c r="G128" s="52"/>
      <c r="H128" s="53"/>
    </row>
    <row r="129" spans="1:9">
      <c r="A129" s="113" t="s">
        <v>164</v>
      </c>
      <c r="B129" s="114"/>
      <c r="C129" s="68">
        <v>0</v>
      </c>
      <c r="D129" s="68">
        <v>0</v>
      </c>
      <c r="E129" s="68">
        <v>0</v>
      </c>
      <c r="F129" s="68">
        <v>0</v>
      </c>
      <c r="G129" s="52"/>
      <c r="H129" s="53"/>
      <c r="I129" s="51"/>
    </row>
    <row r="130" spans="1:9">
      <c r="A130" s="113" t="s">
        <v>165</v>
      </c>
      <c r="B130" s="114"/>
      <c r="C130" s="68">
        <v>0</v>
      </c>
      <c r="D130" s="68">
        <v>0</v>
      </c>
      <c r="E130" s="68">
        <v>0</v>
      </c>
      <c r="F130" s="68">
        <v>0</v>
      </c>
      <c r="G130" s="52"/>
      <c r="H130" s="53"/>
      <c r="I130" s="51" t="s">
        <v>91</v>
      </c>
    </row>
    <row r="131" spans="1:9">
      <c r="A131" s="113" t="s">
        <v>166</v>
      </c>
      <c r="B131" s="114"/>
      <c r="C131" s="68">
        <v>0</v>
      </c>
      <c r="D131" s="68">
        <v>0</v>
      </c>
      <c r="E131" s="68">
        <v>0</v>
      </c>
      <c r="F131" s="68">
        <v>0</v>
      </c>
      <c r="G131" s="52"/>
      <c r="H131" s="53"/>
      <c r="I131" s="51"/>
    </row>
    <row r="132" spans="1:9">
      <c r="A132" s="113" t="s">
        <v>167</v>
      </c>
      <c r="B132" s="114"/>
      <c r="C132" s="68">
        <v>0</v>
      </c>
      <c r="D132" s="68">
        <v>0</v>
      </c>
      <c r="E132" s="68">
        <v>0</v>
      </c>
      <c r="F132" s="68">
        <v>0</v>
      </c>
      <c r="G132" s="52"/>
      <c r="H132" s="53"/>
      <c r="I132" s="51"/>
    </row>
    <row r="133" spans="1:9">
      <c r="A133" s="113" t="s">
        <v>168</v>
      </c>
      <c r="B133" s="114"/>
      <c r="C133" s="68">
        <v>0</v>
      </c>
      <c r="D133" s="68">
        <v>0</v>
      </c>
      <c r="E133" s="68">
        <v>0</v>
      </c>
      <c r="F133" s="68">
        <v>0</v>
      </c>
      <c r="G133" s="52"/>
      <c r="H133" s="53"/>
      <c r="I133" s="51"/>
    </row>
    <row r="134" spans="1:9">
      <c r="A134" s="113" t="s">
        <v>169</v>
      </c>
      <c r="B134" s="114"/>
      <c r="C134" s="68">
        <v>0</v>
      </c>
      <c r="D134" s="68">
        <v>0</v>
      </c>
      <c r="E134" s="68">
        <v>0</v>
      </c>
      <c r="F134" s="68">
        <v>0</v>
      </c>
      <c r="G134" s="52"/>
      <c r="H134" s="53"/>
      <c r="I134" s="51"/>
    </row>
    <row r="135" spans="1:9">
      <c r="A135" s="113" t="s">
        <v>170</v>
      </c>
      <c r="B135" s="114"/>
      <c r="C135" s="68">
        <v>0</v>
      </c>
      <c r="D135" s="68">
        <v>0</v>
      </c>
      <c r="E135" s="68">
        <v>0</v>
      </c>
      <c r="F135" s="68">
        <v>0</v>
      </c>
      <c r="G135" s="52"/>
      <c r="H135" s="53"/>
      <c r="I135" s="51"/>
    </row>
    <row r="136" spans="1:9">
      <c r="A136" s="113" t="s">
        <v>171</v>
      </c>
      <c r="B136" s="114"/>
      <c r="C136" s="68">
        <v>0</v>
      </c>
      <c r="D136" s="68">
        <v>0</v>
      </c>
      <c r="E136" s="68">
        <v>0</v>
      </c>
      <c r="F136" s="68">
        <v>0</v>
      </c>
      <c r="G136" s="52"/>
      <c r="H136" s="53"/>
      <c r="I136" s="51"/>
    </row>
    <row r="137" spans="1:9">
      <c r="A137" s="113" t="s">
        <v>172</v>
      </c>
      <c r="B137" s="114"/>
      <c r="C137" s="68">
        <v>0</v>
      </c>
      <c r="D137" s="68">
        <v>0</v>
      </c>
      <c r="E137" s="68">
        <v>0</v>
      </c>
      <c r="F137" s="68">
        <v>0</v>
      </c>
      <c r="G137" s="52"/>
      <c r="H137" s="53"/>
      <c r="I137" s="51"/>
    </row>
    <row r="138" spans="1:9">
      <c r="A138" s="113" t="s">
        <v>173</v>
      </c>
      <c r="B138" s="114"/>
      <c r="C138" s="68">
        <v>0</v>
      </c>
      <c r="D138" s="68">
        <v>0</v>
      </c>
      <c r="E138" s="68">
        <v>0</v>
      </c>
      <c r="F138" s="68">
        <v>0</v>
      </c>
      <c r="G138" s="52"/>
      <c r="H138" s="53"/>
      <c r="I138" s="51"/>
    </row>
    <row r="139" spans="1:9">
      <c r="A139" s="113" t="s">
        <v>174</v>
      </c>
      <c r="B139" s="114"/>
      <c r="C139" s="68">
        <v>0</v>
      </c>
      <c r="D139" s="68">
        <v>0</v>
      </c>
      <c r="E139" s="68">
        <v>0</v>
      </c>
      <c r="F139" s="68">
        <v>0</v>
      </c>
      <c r="G139" s="52"/>
      <c r="H139" s="53"/>
      <c r="I139" s="51"/>
    </row>
    <row r="140" spans="1:9">
      <c r="A140" s="121" t="s">
        <v>175</v>
      </c>
      <c r="B140" s="122"/>
      <c r="C140" s="68">
        <v>0</v>
      </c>
      <c r="D140" s="68">
        <v>0</v>
      </c>
      <c r="E140" s="68">
        <v>0</v>
      </c>
      <c r="F140" s="68">
        <v>0</v>
      </c>
      <c r="G140" s="52"/>
      <c r="H140" s="53"/>
      <c r="I140" s="51"/>
    </row>
    <row r="141" spans="1:9">
      <c r="A141" s="121" t="s">
        <v>176</v>
      </c>
      <c r="B141" s="122"/>
      <c r="C141" s="68">
        <v>0</v>
      </c>
      <c r="D141" s="68">
        <v>0</v>
      </c>
      <c r="E141" s="68">
        <v>0</v>
      </c>
      <c r="F141" s="68">
        <v>0</v>
      </c>
      <c r="G141" s="52"/>
      <c r="H141" s="53"/>
      <c r="I141" s="51"/>
    </row>
    <row r="142" spans="1:9">
      <c r="A142" s="117" t="s">
        <v>149</v>
      </c>
      <c r="B142" s="118"/>
      <c r="C142" s="76">
        <f>SUM(C129:C141)</f>
        <v>0</v>
      </c>
      <c r="D142" s="76">
        <f t="shared" ref="D142:F142" si="2">SUM(D129:D141)</f>
        <v>0</v>
      </c>
      <c r="E142" s="76">
        <f t="shared" si="2"/>
        <v>0</v>
      </c>
      <c r="F142" s="76">
        <f t="shared" si="2"/>
        <v>0</v>
      </c>
      <c r="G142" s="52"/>
      <c r="H142" s="53"/>
      <c r="I142" s="51"/>
    </row>
    <row r="143" spans="1:9">
      <c r="A143" s="77"/>
      <c r="B143" s="78"/>
      <c r="C143" s="62"/>
      <c r="D143" s="62"/>
      <c r="E143" s="62"/>
      <c r="F143" s="62"/>
      <c r="G143" s="52"/>
      <c r="H143" s="53"/>
      <c r="I143" s="51"/>
    </row>
    <row r="144" spans="1:9">
      <c r="A144" s="5"/>
      <c r="B144" s="26"/>
      <c r="C144" s="26"/>
      <c r="D144" s="26"/>
      <c r="E144" s="26"/>
      <c r="F144" s="52"/>
      <c r="G144" s="52"/>
      <c r="H144" s="53"/>
      <c r="I144" s="51"/>
    </row>
    <row r="145" spans="1:8">
      <c r="A145" s="108" t="s">
        <v>177</v>
      </c>
      <c r="B145" s="108"/>
      <c r="C145" s="26"/>
      <c r="D145" s="26"/>
      <c r="E145" s="26"/>
      <c r="F145" s="52"/>
      <c r="G145" s="52"/>
      <c r="H145" s="53"/>
    </row>
    <row r="146" spans="1:8">
      <c r="A146" s="7"/>
      <c r="B146" s="21" t="s">
        <v>178</v>
      </c>
      <c r="C146" s="21" t="s">
        <v>179</v>
      </c>
      <c r="D146" s="21" t="s">
        <v>180</v>
      </c>
      <c r="E146" s="21" t="s">
        <v>181</v>
      </c>
      <c r="F146" s="32" t="s">
        <v>182</v>
      </c>
      <c r="G146" s="21" t="s">
        <v>149</v>
      </c>
      <c r="H146" s="53"/>
    </row>
    <row r="147" spans="1:8">
      <c r="A147" s="9" t="s">
        <v>183</v>
      </c>
      <c r="B147" s="8">
        <v>0</v>
      </c>
      <c r="C147" s="8">
        <v>0</v>
      </c>
      <c r="D147" s="8">
        <v>0</v>
      </c>
      <c r="E147" s="8">
        <v>0</v>
      </c>
      <c r="F147" s="33">
        <f>SUM(B147:E147)</f>
        <v>0</v>
      </c>
      <c r="G147" s="8">
        <f>SUM(B147:E147)</f>
        <v>0</v>
      </c>
      <c r="H147" s="53"/>
    </row>
    <row r="148" spans="1:8">
      <c r="A148" s="9" t="s">
        <v>184</v>
      </c>
      <c r="B148" s="8">
        <v>0</v>
      </c>
      <c r="C148" s="8">
        <v>0</v>
      </c>
      <c r="D148" s="8">
        <v>0</v>
      </c>
      <c r="E148" s="8">
        <v>0</v>
      </c>
      <c r="F148" s="33">
        <f>SUM(B148:E148)</f>
        <v>0</v>
      </c>
      <c r="G148" s="8">
        <f>SUM(B148:E148)</f>
        <v>0</v>
      </c>
      <c r="H148" s="53"/>
    </row>
    <row r="149" spans="1:8">
      <c r="A149" s="9" t="s">
        <v>185</v>
      </c>
      <c r="B149" s="8">
        <v>0</v>
      </c>
      <c r="C149" s="8">
        <v>0</v>
      </c>
      <c r="D149" s="8">
        <v>0</v>
      </c>
      <c r="E149" s="8">
        <v>0</v>
      </c>
      <c r="F149" s="33">
        <f>SUM(B149:E149)</f>
        <v>0</v>
      </c>
      <c r="G149" s="8">
        <f>SUM(B149:E149)</f>
        <v>0</v>
      </c>
      <c r="H149" s="53"/>
    </row>
    <row r="150" spans="1:8">
      <c r="A150" s="9" t="s">
        <v>186</v>
      </c>
      <c r="B150" s="8">
        <v>0</v>
      </c>
      <c r="C150" s="8">
        <v>0</v>
      </c>
      <c r="D150" s="8">
        <v>0</v>
      </c>
      <c r="E150" s="8">
        <v>0</v>
      </c>
      <c r="F150" s="33">
        <f>SUM(B150:E150)</f>
        <v>0</v>
      </c>
      <c r="G150" s="8">
        <f>SUM(B150:E150)</f>
        <v>0</v>
      </c>
      <c r="H150" s="53"/>
    </row>
    <row r="151" spans="1:8">
      <c r="A151" s="7" t="s">
        <v>187</v>
      </c>
      <c r="B151" s="6">
        <f>+SUM(B147:B150)</f>
        <v>0</v>
      </c>
      <c r="C151" s="6">
        <f>+SUM(C147:C150)</f>
        <v>0</v>
      </c>
      <c r="D151" s="6">
        <f>+SUM(D147:D150)</f>
        <v>0</v>
      </c>
      <c r="E151" s="6">
        <f>+SUM(E147:E150)</f>
        <v>0</v>
      </c>
      <c r="F151" s="34">
        <f t="shared" ref="F151" si="3">+SUM(F147:F150)</f>
        <v>0</v>
      </c>
      <c r="G151" s="6">
        <f>+SUM(G147:G150)</f>
        <v>0</v>
      </c>
      <c r="H151" s="53"/>
    </row>
    <row r="152" spans="1:8">
      <c r="A152" s="5"/>
      <c r="B152" s="26"/>
      <c r="C152" s="26"/>
      <c r="D152" s="26"/>
      <c r="E152" s="26"/>
      <c r="F152" s="52"/>
      <c r="G152" s="52"/>
      <c r="H152" s="53"/>
    </row>
    <row r="153" spans="1:8">
      <c r="A153" s="57"/>
      <c r="B153" s="52"/>
      <c r="C153" s="52"/>
      <c r="D153" s="52"/>
      <c r="E153" s="26"/>
      <c r="F153" s="52"/>
      <c r="G153" s="52"/>
      <c r="H153" s="53"/>
    </row>
    <row r="154" spans="1:8">
      <c r="A154" s="161" t="s">
        <v>188</v>
      </c>
      <c r="B154" s="162"/>
      <c r="C154" s="162"/>
      <c r="D154" s="52"/>
      <c r="E154" s="26"/>
      <c r="F154" s="52"/>
      <c r="G154" s="52"/>
      <c r="H154" s="53"/>
    </row>
    <row r="155" spans="1:8">
      <c r="A155" s="159"/>
      <c r="B155" s="160"/>
      <c r="C155" s="42" t="s">
        <v>189</v>
      </c>
      <c r="D155" s="42" t="s">
        <v>190</v>
      </c>
      <c r="E155" s="42" t="s">
        <v>191</v>
      </c>
      <c r="F155" s="52"/>
      <c r="G155" s="52"/>
      <c r="H155" s="53"/>
    </row>
    <row r="156" spans="1:8">
      <c r="A156" s="29" t="s">
        <v>192</v>
      </c>
      <c r="B156" s="29"/>
      <c r="C156" s="73">
        <v>0</v>
      </c>
      <c r="D156" s="73">
        <v>0</v>
      </c>
      <c r="E156" s="65">
        <f>IFERROR(C156/(C156+D156),0)</f>
        <v>0</v>
      </c>
      <c r="F156" s="52"/>
      <c r="G156" s="52"/>
      <c r="H156" s="53"/>
    </row>
    <row r="157" spans="1:8">
      <c r="A157" s="3" t="s">
        <v>193</v>
      </c>
      <c r="B157" s="30"/>
      <c r="C157" s="52"/>
      <c r="D157" s="52"/>
      <c r="E157" s="26"/>
      <c r="F157" s="52"/>
      <c r="G157" s="52"/>
      <c r="H157" s="53"/>
    </row>
    <row r="158" spans="1:8">
      <c r="A158" s="4" t="s">
        <v>194</v>
      </c>
      <c r="B158" s="30"/>
      <c r="C158" s="26"/>
      <c r="D158" s="26"/>
      <c r="E158" s="26"/>
      <c r="F158" s="52"/>
      <c r="G158" s="52"/>
      <c r="H158" s="53"/>
    </row>
    <row r="159" spans="1:8">
      <c r="A159" s="3"/>
      <c r="B159" s="30"/>
      <c r="C159" s="26"/>
      <c r="D159" s="26"/>
      <c r="E159" s="26"/>
      <c r="F159" s="52"/>
      <c r="G159" s="52"/>
      <c r="H159" s="53"/>
    </row>
    <row r="160" spans="1:8">
      <c r="A160" s="79"/>
      <c r="B160" s="80"/>
      <c r="C160" s="2"/>
      <c r="D160" s="2"/>
      <c r="E160" s="2"/>
      <c r="F160" s="2"/>
      <c r="G160" s="80"/>
      <c r="H160" s="81"/>
    </row>
  </sheetData>
  <mergeCells count="161">
    <mergeCell ref="A141:B141"/>
    <mergeCell ref="A142:B142"/>
    <mergeCell ref="A145:B145"/>
    <mergeCell ref="A154:C154"/>
    <mergeCell ref="A155:B155"/>
    <mergeCell ref="A132:B132"/>
    <mergeCell ref="A133:B133"/>
    <mergeCell ref="A134:B134"/>
    <mergeCell ref="A135:B135"/>
    <mergeCell ref="A136:B136"/>
    <mergeCell ref="A137:B137"/>
    <mergeCell ref="A138:B138"/>
    <mergeCell ref="A139:B139"/>
    <mergeCell ref="A140:B140"/>
    <mergeCell ref="E93:F93"/>
    <mergeCell ref="G93:H93"/>
    <mergeCell ref="C94:D94"/>
    <mergeCell ref="E94:F94"/>
    <mergeCell ref="G94:H94"/>
    <mergeCell ref="A127:D127"/>
    <mergeCell ref="A129:B129"/>
    <mergeCell ref="A130:B130"/>
    <mergeCell ref="A131:B131"/>
    <mergeCell ref="A118:B118"/>
    <mergeCell ref="A128:B128"/>
    <mergeCell ref="A93:B93"/>
    <mergeCell ref="A104:D104"/>
    <mergeCell ref="A101:B101"/>
    <mergeCell ref="A97:C97"/>
    <mergeCell ref="A98:B98"/>
    <mergeCell ref="A99:B99"/>
    <mergeCell ref="A100:B100"/>
    <mergeCell ref="E90:F90"/>
    <mergeCell ref="G90:H90"/>
    <mergeCell ref="A91:B91"/>
    <mergeCell ref="C91:D91"/>
    <mergeCell ref="E91:F91"/>
    <mergeCell ref="G91:H91"/>
    <mergeCell ref="C92:D92"/>
    <mergeCell ref="E92:F92"/>
    <mergeCell ref="G92:H92"/>
    <mergeCell ref="A92:B92"/>
    <mergeCell ref="E86:F86"/>
    <mergeCell ref="G86:H86"/>
    <mergeCell ref="C87:D87"/>
    <mergeCell ref="E87:F87"/>
    <mergeCell ref="G87:H87"/>
    <mergeCell ref="C88:D88"/>
    <mergeCell ref="E88:F88"/>
    <mergeCell ref="G88:H88"/>
    <mergeCell ref="C89:D89"/>
    <mergeCell ref="E89:F89"/>
    <mergeCell ref="G89:H89"/>
    <mergeCell ref="E85:F85"/>
    <mergeCell ref="G85:H85"/>
    <mergeCell ref="G78:H78"/>
    <mergeCell ref="C79:D79"/>
    <mergeCell ref="E79:F79"/>
    <mergeCell ref="G79:H79"/>
    <mergeCell ref="C80:D80"/>
    <mergeCell ref="E80:F80"/>
    <mergeCell ref="G80:H80"/>
    <mergeCell ref="C81:D81"/>
    <mergeCell ref="E81:F81"/>
    <mergeCell ref="G81:H81"/>
    <mergeCell ref="C78:D78"/>
    <mergeCell ref="E78:F78"/>
    <mergeCell ref="E82:F82"/>
    <mergeCell ref="G82:H82"/>
    <mergeCell ref="C83:D83"/>
    <mergeCell ref="E83:F83"/>
    <mergeCell ref="G83:H83"/>
    <mergeCell ref="C84:D84"/>
    <mergeCell ref="E84:F84"/>
    <mergeCell ref="G84:H84"/>
    <mergeCell ref="A78:B78"/>
    <mergeCell ref="A79:B79"/>
    <mergeCell ref="A80:B80"/>
    <mergeCell ref="A81:B81"/>
    <mergeCell ref="A94:B94"/>
    <mergeCell ref="A53:B53"/>
    <mergeCell ref="A54:B54"/>
    <mergeCell ref="A75:B75"/>
    <mergeCell ref="C75:D75"/>
    <mergeCell ref="A85:B85"/>
    <mergeCell ref="A86:B86"/>
    <mergeCell ref="A87:B87"/>
    <mergeCell ref="A88:B88"/>
    <mergeCell ref="A82:B82"/>
    <mergeCell ref="A89:B89"/>
    <mergeCell ref="C82:D82"/>
    <mergeCell ref="C86:D86"/>
    <mergeCell ref="A90:B90"/>
    <mergeCell ref="C90:D90"/>
    <mergeCell ref="C93:D93"/>
    <mergeCell ref="C85:D85"/>
    <mergeCell ref="A83:B83"/>
    <mergeCell ref="A84:B84"/>
    <mergeCell ref="A77:B77"/>
    <mergeCell ref="A18:B18"/>
    <mergeCell ref="C18:D18"/>
    <mergeCell ref="A19:B22"/>
    <mergeCell ref="C19:D22"/>
    <mergeCell ref="E19:E22"/>
    <mergeCell ref="A24:B24"/>
    <mergeCell ref="A32:C32"/>
    <mergeCell ref="A35:B35"/>
    <mergeCell ref="A36:B36"/>
    <mergeCell ref="A33:B33"/>
    <mergeCell ref="A34:B34"/>
    <mergeCell ref="A11:E15"/>
    <mergeCell ref="A1:H1"/>
    <mergeCell ref="A3:B3"/>
    <mergeCell ref="C3:E3"/>
    <mergeCell ref="A5:B5"/>
    <mergeCell ref="A6:B6"/>
    <mergeCell ref="A7:B7"/>
    <mergeCell ref="A8:B8"/>
    <mergeCell ref="C8:E8"/>
    <mergeCell ref="A10:B10"/>
    <mergeCell ref="C7:D7"/>
    <mergeCell ref="C77:D77"/>
    <mergeCell ref="E77:F77"/>
    <mergeCell ref="G77:H77"/>
    <mergeCell ref="A38:B38"/>
    <mergeCell ref="A39:B39"/>
    <mergeCell ref="A40:B40"/>
    <mergeCell ref="A41:B41"/>
    <mergeCell ref="A37:B37"/>
    <mergeCell ref="A45:B45"/>
    <mergeCell ref="A46:B46"/>
    <mergeCell ref="A48:B48"/>
    <mergeCell ref="A52:B52"/>
    <mergeCell ref="A49:B49"/>
    <mergeCell ref="A50:B50"/>
    <mergeCell ref="A51:B51"/>
    <mergeCell ref="E75:F75"/>
    <mergeCell ref="A62:B62"/>
    <mergeCell ref="C74:D74"/>
    <mergeCell ref="E74:F74"/>
    <mergeCell ref="A60:B60"/>
    <mergeCell ref="A61:B61"/>
    <mergeCell ref="A73:B74"/>
    <mergeCell ref="A55:B55"/>
    <mergeCell ref="F34:H34"/>
    <mergeCell ref="F35:H41"/>
    <mergeCell ref="G74:H74"/>
    <mergeCell ref="A72:B72"/>
    <mergeCell ref="G75:H75"/>
    <mergeCell ref="A76:B76"/>
    <mergeCell ref="C76:D76"/>
    <mergeCell ref="E76:F76"/>
    <mergeCell ref="G76:H76"/>
    <mergeCell ref="A59:B59"/>
    <mergeCell ref="A63:B63"/>
    <mergeCell ref="A64:B64"/>
    <mergeCell ref="A65:B65"/>
    <mergeCell ref="A66:B66"/>
    <mergeCell ref="A67:B67"/>
    <mergeCell ref="A68:B68"/>
    <mergeCell ref="A47:B47"/>
  </mergeCells>
  <conditionalFormatting sqref="C7">
    <cfRule type="cellIs" dxfId="10" priority="1" stopIfTrue="1" operator="equal">
      <formula>"Green"</formula>
    </cfRule>
    <cfRule type="cellIs" dxfId="9" priority="2" stopIfTrue="1" operator="equal">
      <formula>"Red"</formula>
    </cfRule>
    <cfRule type="cellIs" dxfId="8" priority="3" stopIfTrue="1" operator="equal">
      <formula>"Yellow"</formula>
    </cfRule>
    <cfRule type="cellIs" dxfId="7" priority="4" stopIfTrue="1" operator="equal">
      <formula>"Blue"</formula>
    </cfRule>
    <cfRule type="cellIs" dxfId="6" priority="5" operator="equal">
      <formula>"Green Trending Yellow"</formula>
    </cfRule>
    <cfRule type="cellIs" dxfId="5" priority="6" operator="equal">
      <formula>"Yellow Trending Green"</formula>
    </cfRule>
    <cfRule type="cellIs" dxfId="4" priority="7" operator="equal">
      <formula>"Red Trending Green"</formula>
    </cfRule>
    <cfRule type="cellIs" dxfId="3" priority="8" operator="equal">
      <formula>"Green Trending Red"</formula>
    </cfRule>
    <cfRule type="cellIs" dxfId="2" priority="9" operator="equal">
      <formula>"Yellow Trending Red"</formula>
    </cfRule>
    <cfRule type="cellIs" dxfId="1" priority="10" operator="equal">
      <formula>"Red Trending Yellow"</formula>
    </cfRule>
    <cfRule type="cellIs" dxfId="0" priority="11" stopIfTrue="1" operator="equal">
      <formula>"White"</formula>
    </cfRule>
  </conditionalFormatting>
  <dataValidations count="3">
    <dataValidation type="list" allowBlank="1" showInputMessage="1" showErrorMessage="1" sqref="C7:D7" xr:uid="{B8933A8A-5C66-4EAE-B50C-B064FDA24832}">
      <formula1>"Green,Yellow,Red,Green Trending Yellow,Yellow Trending Red,Yellow Trending Green,Red Trending Yellow,Green Trending Red, Red Trending Green"</formula1>
    </dataValidation>
    <dataValidation type="list" allowBlank="1" showInputMessage="1" showErrorMessage="1" sqref="C6" xr:uid="{5F41A253-B7FD-49A2-8B48-2353E4390274}">
      <formula1>"SIT 1, SIT 2, UAT 1, UAT 2, SIT/UAT, Sprint"</formula1>
    </dataValidation>
    <dataValidation type="list" allowBlank="1" showInputMessage="1" showErrorMessage="1" sqref="C5" xr:uid="{A67D2AEF-0E07-4962-B662-32AAC94C7F2A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importDSR">
                <anchor moveWithCells="1" sizeWithCells="1">
                  <from>
                    <xdr:col>8</xdr:col>
                    <xdr:colOff>260350</xdr:colOff>
                    <xdr:row>3</xdr:row>
                    <xdr:rowOff>0</xdr:rowOff>
                  </from>
                  <to>
                    <xdr:col>10</xdr:col>
                    <xdr:colOff>260350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20B70-8265-458C-855C-D199E24932BC}">
  <sheetPr codeName="Sheet5"/>
  <dimension ref="C1:I22"/>
  <sheetViews>
    <sheetView zoomScale="80" zoomScaleNormal="80" workbookViewId="0">
      <selection activeCell="D5" sqref="D5"/>
    </sheetView>
  </sheetViews>
  <sheetFormatPr defaultRowHeight="13.5"/>
  <cols>
    <col min="3" max="3" width="21.140625" customWidth="1"/>
    <col min="4" max="4" width="142.140625" bestFit="1" customWidth="1"/>
    <col min="9" max="9" width="134.140625" customWidth="1"/>
  </cols>
  <sheetData>
    <row r="1" spans="3:9">
      <c r="D1" t="s">
        <v>249</v>
      </c>
      <c r="E1" t="str">
        <f ca="1">TEXT(TODAY(),"mmm dd, yyyy")</f>
        <v>Oct 11, 2025</v>
      </c>
    </row>
    <row r="2" spans="3:9">
      <c r="C2" t="s">
        <v>88</v>
      </c>
      <c r="D2" s="36" t="str">
        <f ca="1">TEXT(TODAY(),"Mmm dd")</f>
        <v>Oct 11</v>
      </c>
      <c r="E2" t="str">
        <f ca="1">TEXT(TODAY()-1,"Mmm dd")</f>
        <v>Oct 10</v>
      </c>
      <c r="I2" t="s">
        <v>250</v>
      </c>
    </row>
    <row r="3" spans="3:9" ht="67.5">
      <c r="C3" t="s">
        <v>251</v>
      </c>
      <c r="D3" s="37" t="s">
        <v>252</v>
      </c>
      <c r="I3" t="s">
        <v>253</v>
      </c>
    </row>
    <row r="4" spans="3:9" ht="40.5">
      <c r="C4" t="s">
        <v>254</v>
      </c>
      <c r="D4" s="37" t="s">
        <v>255</v>
      </c>
      <c r="I4" t="s">
        <v>256</v>
      </c>
    </row>
    <row r="5" spans="3:9">
      <c r="C5" t="s">
        <v>257</v>
      </c>
      <c r="D5" t="s">
        <v>258</v>
      </c>
      <c r="I5" t="s">
        <v>259</v>
      </c>
    </row>
    <row r="6" spans="3:9">
      <c r="C6" t="s">
        <v>260</v>
      </c>
      <c r="D6" s="25" t="s">
        <v>261</v>
      </c>
      <c r="I6" t="s">
        <v>262</v>
      </c>
    </row>
    <row r="7" spans="3:9" ht="14.45">
      <c r="C7" t="s">
        <v>263</v>
      </c>
      <c r="D7" s="35" t="s">
        <v>264</v>
      </c>
      <c r="I7" t="s">
        <v>265</v>
      </c>
    </row>
    <row r="8" spans="3:9" ht="25.35" customHeight="1">
      <c r="C8" t="s">
        <v>266</v>
      </c>
      <c r="D8" s="25" t="s">
        <v>267</v>
      </c>
      <c r="I8" t="s">
        <v>268</v>
      </c>
    </row>
    <row r="9" spans="3:9" ht="21.6" customHeight="1">
      <c r="C9" t="s">
        <v>269</v>
      </c>
      <c r="D9" s="25" t="s">
        <v>270</v>
      </c>
      <c r="I9" s="41" t="s">
        <v>271</v>
      </c>
    </row>
    <row r="10" spans="3:9">
      <c r="I10" t="s">
        <v>272</v>
      </c>
    </row>
    <row r="11" spans="3:9">
      <c r="C11" t="s">
        <v>88</v>
      </c>
      <c r="D11" s="36" t="str">
        <f ca="1">TEXT(TODAY()-1,"dddd, mmmm dd, yyyy")</f>
        <v>Friday, October 10, 2025</v>
      </c>
    </row>
    <row r="12" spans="3:9" ht="216">
      <c r="C12" t="s">
        <v>273</v>
      </c>
      <c r="D12" s="37" t="s">
        <v>274</v>
      </c>
      <c r="I12" s="41" t="str">
        <f ca="1">_xlfn.CONCAT(I$2,D$7,I$3,D$2,I$4,D$2,I$5,D$6,I$6,D$6,I$8,D$8,I$9,D$9,I$10,I$7)</f>
        <v>&lt;p class=MsoNormal&gt;&lt;span style='font-family:"Trebuchet MS",sans-serif'&gt;&lt;o:p&gt;Hi all, &lt;br&gt;&lt;br&gt;Please update test execution status for your respective projects &lt;b&gt;(Nov to Dec 2025 implementations)&lt;/b&gt; as of &lt;b&gt;Oct 11&lt;/b&gt; in the 'Releases DSR'&lt;br&gt;&lt;br&gt;Below SharePoint link contains the &lt;b&gt;Oct 11&lt;/b&gt; status report - Separate sheet/tabs has been created for your respective projects:&lt;br&gt;&lt;br&gt;&lt;a
href="https://cibc.sharepoint.com/:f:/s/GRP-PBPTQAReleaseManagement/EsBKLs8W_Q1Dt8x9JxRPtVABkN1zA7wRtiJodFyEsxO6pA?e=JzljHY"&gt;https://cibc.sharepoint.com/:f:/s/GRP-PBPTQAReleaseManagement/EsBKLs8W_Q1Dt8x9JxRPtVABkN1zA7wRtiJodFyEsxO6pA?e=JzljHY&lt;/a&gt;&lt;br&gt;&lt;br&gt;&lt;strong&gt;Please ensure you are using the most recent &lt;a
href="https://cibc.sharepoint.com/:u:/s/pbpt7/Education/Eb0-j6KYdn5Do89btk-LC7gBd-3Hi0J28GOnx95XyOFHaQ?e=zgMGIF"&gt;Lending&lt;/a&gt; and &lt;a
href="https://cibc.sharepoint.com/:u:/s/pbpt7/Education/EQTxZ-lx3glCnHOZMHaPvpcBOAlDYgkwPGDkUPN2syeUGg?e=JlOfKy"&gt;Deposits&lt;/a&gt; DSR templates&lt;/strong&gt;&lt;br&gt;&lt;br&gt;Please get back to me in case of any questions/issues with regards to the status report.&lt;/o:p&gt;&lt;/span&gt;&lt;/p&gt;</v>
      </c>
    </row>
    <row r="13" spans="3:9">
      <c r="C13" t="s">
        <v>254</v>
      </c>
      <c r="D13" s="25" t="s">
        <v>275</v>
      </c>
    </row>
    <row r="14" spans="3:9">
      <c r="C14" t="s">
        <v>276</v>
      </c>
      <c r="D14" t="s">
        <v>277</v>
      </c>
    </row>
    <row r="16" spans="3:9" ht="14.1" thickBot="1"/>
    <row r="17" spans="3:9" ht="135.6" thickBot="1">
      <c r="C17" s="38" t="s">
        <v>278</v>
      </c>
      <c r="D17" s="39" t="str">
        <f ca="1">_xlfn.CONCAT(I$2,D$7,I$3,D$2,I$4,D$2,I$5,D$6,I$6,D$6,I$8,D$8,I$9,D$9,I$10,I$7)</f>
        <v>&lt;p class=MsoNormal&gt;&lt;span style='font-family:"Trebuchet MS",sans-serif'&gt;&lt;o:p&gt;Hi all, &lt;br&gt;&lt;br&gt;Please update test execution status for your respective projects &lt;b&gt;(Nov to Dec 2025 implementations)&lt;/b&gt; as of &lt;b&gt;Oct 11&lt;/b&gt; in the 'Releases DSR'&lt;br&gt;&lt;br&gt;Below SharePoint link contains the &lt;b&gt;Oct 11&lt;/b&gt; status report - Separate sheet/tabs has been created for your respective projects:&lt;br&gt;&lt;br&gt;&lt;a
href="https://cibc.sharepoint.com/:f:/s/GRP-PBPTQAReleaseManagement/EsBKLs8W_Q1Dt8x9JxRPtVABkN1zA7wRtiJodFyEsxO6pA?e=JzljHY"&gt;https://cibc.sharepoint.com/:f:/s/GRP-PBPTQAReleaseManagement/EsBKLs8W_Q1Dt8x9JxRPtVABkN1zA7wRtiJodFyEsxO6pA?e=JzljHY&lt;/a&gt;&lt;br&gt;&lt;br&gt;&lt;strong&gt;Please ensure you are using the most recent &lt;a
href="https://cibc.sharepoint.com/:u:/s/pbpt7/Education/Eb0-j6KYdn5Do89btk-LC7gBd-3Hi0J28GOnx95XyOFHaQ?e=zgMGIF"&gt;Lending&lt;/a&gt; and &lt;a
href="https://cibc.sharepoint.com/:u:/s/pbpt7/Education/EQTxZ-lx3glCnHOZMHaPvpcBOAlDYgkwPGDkUPN2syeUGg?e=JlOfKy"&gt;Deposits&lt;/a&gt; DSR templates&lt;/strong&gt;&lt;br&gt;&lt;br&gt;Please get back to me in case of any questions/issues with regards to the status report.&lt;/o:p&gt;&lt;/span&gt;&lt;/p&gt;</v>
      </c>
    </row>
    <row r="18" spans="3:9" ht="14.1" thickBot="1"/>
    <row r="19" spans="3:9" ht="41.1" thickBot="1">
      <c r="C19" s="38" t="s">
        <v>278</v>
      </c>
      <c r="D19" s="40" t="str">
        <f ca="1">_xlfn.CONCAT(I19,D14,I20,D11,I22)</f>
        <v>&lt;p class=MsoNormal&gt;&lt;span style='font-family:"Trebuchet MS",sans-serif'&gt;&lt;o:p&gt;Hello, &lt;br&gt;&lt;br&gt;Below is the combined testing status for the F26 Nov to Dec CBPT Releases Projects as of &lt;b&gt;Friday, October 10, 2025&lt;/b&gt; &lt;br&gt;&lt;/br&gt;&lt;br&gt;&lt;/br&gt;I have included the link for those would like to see the individual project stats.&lt;br&gt;&lt;br&gt;</v>
      </c>
      <c r="I19" t="s">
        <v>279</v>
      </c>
    </row>
    <row r="20" spans="3:9">
      <c r="I20" t="s">
        <v>280</v>
      </c>
    </row>
    <row r="22" spans="3:9">
      <c r="I22" t="s">
        <v>281</v>
      </c>
    </row>
  </sheetData>
  <hyperlinks>
    <hyperlink ref="D6" r:id="rId1" xr:uid="{27736DF0-710F-47A9-9D0F-7164AC4B0E4B}"/>
    <hyperlink ref="D13" r:id="rId2" display="boris.shapiro@cibc.com" xr:uid="{AEC04C1E-164E-4297-B3CE-2B8414B78F28}"/>
    <hyperlink ref="D12" r:id="rId3" display="boris.shapiro@cibc.com;" xr:uid="{66E056A5-C9B2-4F02-B61C-91EE79F5A476}"/>
    <hyperlink ref="D8" r:id="rId4" xr:uid="{0B6BB4E3-8E0E-43F4-9B2A-7AF78F592751}"/>
    <hyperlink ref="D9" r:id="rId5" xr:uid="{7C360366-B5F5-4B93-A054-1E5B6064EE40}"/>
  </hyperlinks>
  <pageMargins left="0.7" right="0.7" top="0.75" bottom="0.75" header="0.3" footer="0.3"/>
  <pageSetup orientation="portrait"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b6eae78-cd7e-439f-a03f-fac33d25280c" xsi:nil="true"/>
    <TaxCatchAll xmlns="7c2c0083-0493-4094-808e-4ff0ab827e2f" xsi:nil="true"/>
    <lcf76f155ced4ddcb4097134ff3c332f xmlns="2b6eae78-cd7e-439f-a03f-fac33d25280c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4593A08486EA4E9F8E677C5E48CD01" ma:contentTypeVersion="18" ma:contentTypeDescription="Create a new document." ma:contentTypeScope="" ma:versionID="8a1c027f6ac32ed7bd8e863bfb2d78bd">
  <xsd:schema xmlns:xsd="http://www.w3.org/2001/XMLSchema" xmlns:xs="http://www.w3.org/2001/XMLSchema" xmlns:p="http://schemas.microsoft.com/office/2006/metadata/properties" xmlns:ns2="2b6eae78-cd7e-439f-a03f-fac33d25280c" xmlns:ns3="7c2c0083-0493-4094-808e-4ff0ab827e2f" targetNamespace="http://schemas.microsoft.com/office/2006/metadata/properties" ma:root="true" ma:fieldsID="64769bd4613c826a7c6cdf121e004a65" ns2:_="" ns3:_="">
    <xsd:import namespace="2b6eae78-cd7e-439f-a03f-fac33d25280c"/>
    <xsd:import namespace="7c2c0083-0493-4094-808e-4ff0ab827e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_Flow_SignoffStatu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6eae78-cd7e-439f-a03f-fac33d2528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Flow_SignoffStatus" ma:index="12" nillable="true" ma:displayName="Sign-off status" ma:internalName="Sign_x002d_off_x0020_status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c195982d-6267-4e25-a797-e2807f6cda3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2c0083-0493-4094-808e-4ff0ab827e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633748fc-91a1-4dae-929c-831dfbbf1d2e}" ma:internalName="TaxCatchAll" ma:showField="CatchAllData" ma:web="7c2c0083-0493-4094-808e-4ff0ab827e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572091-A32E-4108-9954-3BA8AF1C4107}"/>
</file>

<file path=customXml/itemProps2.xml><?xml version="1.0" encoding="utf-8"?>
<ds:datastoreItem xmlns:ds="http://schemas.openxmlformats.org/officeDocument/2006/customXml" ds:itemID="{CF04AF0C-1E08-4D89-B189-A68E0CDF90B8}"/>
</file>

<file path=customXml/itemProps3.xml><?xml version="1.0" encoding="utf-8"?>
<ds:datastoreItem xmlns:ds="http://schemas.openxmlformats.org/officeDocument/2006/customXml" ds:itemID="{AB19F42D-4696-419D-9F75-FC52FD3E5E6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Shapiro, Boris</dc:creator>
  <cp:keywords/>
  <dc:description/>
  <cp:lastModifiedBy>Nigam, Amit</cp:lastModifiedBy>
  <cp:revision/>
  <dcterms:created xsi:type="dcterms:W3CDTF">2019-10-04T14:22:27Z</dcterms:created>
  <dcterms:modified xsi:type="dcterms:W3CDTF">2025-10-11T21:19:42Z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0x010100E54593A08486EA4E9F8E677C5E48CD01</vt:lpwstr>
  </property>
  <property fmtid="{D5CDD505-2E9C-101B-9397-08002B2CF9AE}" pid="3" name="WorkbookGuid">
    <vt:lpwstr>ef46e2d6-44bd-4691-a827-c5ec5929baa0</vt:lpwstr>
  </property>
  <property fmtid="{D5CDD505-2E9C-101B-9397-08002B2CF9AE}" pid="4" name="SV_QUERY_LIST_4F35BF76-6C0D-4D9B-82B2-816C12CF3733">
    <vt:lpwstr>empty_477D106A-C0D6-4607-AEBD-E2C9D60EA279</vt:lpwstr>
  </property>
  <property fmtid="{D5CDD505-2E9C-101B-9397-08002B2CF9AE}" pid="5" name="SV_HIDDEN_GRID_QUERY_LIST_4F35BF76-6C0D-4D9B-82B2-816C12CF3733">
    <vt:lpwstr>empty_477D106A-C0D6-4607-AEBD-E2C9D60EA279</vt:lpwstr>
  </property>
  <property fmtid="{D5CDD505-2E9C-101B-9397-08002B2CF9AE}" pid="6" name="MediaServiceImageTags">
    <vt:lpwstr/>
  </property>
</Properties>
</file>